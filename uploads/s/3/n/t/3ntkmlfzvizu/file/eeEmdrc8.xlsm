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eppe\Downloads\"/>
    </mc:Choice>
  </mc:AlternateContent>
  <xr:revisionPtr revIDLastSave="0" documentId="8_{68DE2A94-1FD7-42AB-BAFF-0D40FB3C966D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ENTRADA" sheetId="1" r:id="rId1"/>
    <sheet name="CÁLCULOS" sheetId="2" state="hidden" r:id="rId2"/>
    <sheet name="SALIDA" sheetId="4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H17" i="1" l="1"/>
  <c r="E17" i="1" l="1"/>
  <c r="A2" i="1" l="1" a="1"/>
  <c r="A2" i="1" s="1"/>
  <c r="A1" i="4" l="1"/>
  <c r="E12" i="4" l="1"/>
  <c r="F40" i="1"/>
  <c r="E40" i="1"/>
  <c r="F28" i="1"/>
  <c r="E28" i="1"/>
  <c r="E24" i="1"/>
  <c r="F21" i="1"/>
  <c r="E21" i="1"/>
  <c r="F13" i="1"/>
  <c r="E13" i="1"/>
  <c r="A5" i="1"/>
  <c r="A4" i="1" a="1"/>
  <c r="A4" i="1" s="1"/>
  <c r="A3" i="1" a="1"/>
  <c r="A3" i="1" s="1"/>
  <c r="A1" i="1" a="1"/>
  <c r="A1" i="1" s="1"/>
  <c r="G16" i="2" a="1"/>
  <c r="G15" i="2" a="1"/>
  <c r="E48" i="2" a="1"/>
  <c r="G14" i="2" a="1"/>
  <c r="E38" i="2" a="1"/>
  <c r="F48" i="2" a="1"/>
  <c r="G17" i="2" a="1"/>
  <c r="H15" i="2" a="1"/>
  <c r="M14" i="2" a="1"/>
  <c r="H17" i="2" a="1"/>
  <c r="K14" i="2" a="1"/>
  <c r="H14" i="2" a="1"/>
  <c r="L14" i="2" a="1"/>
  <c r="H16" i="2" a="1"/>
  <c r="E5" i="2" a="1"/>
  <c r="F48" i="2" l="1"/>
  <c r="E48" i="2"/>
  <c r="E38" i="2"/>
  <c r="E40" i="2" s="1"/>
  <c r="E78" i="2" s="1"/>
  <c r="B13" i="4"/>
  <c r="D13" i="4"/>
  <c r="L14" i="2"/>
  <c r="G16" i="2"/>
  <c r="G17" i="2"/>
  <c r="G15" i="2"/>
  <c r="K14" i="2"/>
  <c r="E26" i="2" s="1"/>
  <c r="E27" i="2" s="1"/>
  <c r="E5" i="2"/>
  <c r="E7" i="2" s="1"/>
  <c r="H14" i="2"/>
  <c r="H17" i="2"/>
  <c r="I17" i="2" s="1"/>
  <c r="M14" i="2"/>
  <c r="H16" i="2"/>
  <c r="I16" i="2" s="1"/>
  <c r="G14" i="2"/>
  <c r="H15" i="2"/>
  <c r="F38" i="2" a="1"/>
  <c r="A6" i="1"/>
  <c r="G38" i="2" a="1"/>
  <c r="G38" i="2" l="1"/>
  <c r="E43" i="2" s="1"/>
  <c r="E81" i="2" s="1"/>
  <c r="F38" i="2"/>
  <c r="E42" i="2" s="1"/>
  <c r="E80" i="2" s="1"/>
  <c r="E64" i="2"/>
  <c r="E71" i="2"/>
  <c r="E70" i="2"/>
  <c r="E41" i="2"/>
  <c r="E79" i="2" s="1"/>
  <c r="E50" i="2"/>
  <c r="E82" i="2" s="1"/>
  <c r="E51" i="2"/>
  <c r="E83" i="2" s="1"/>
  <c r="G19" i="2"/>
  <c r="G18" i="2"/>
  <c r="I14" i="2"/>
  <c r="H18" i="2"/>
  <c r="I15" i="2"/>
  <c r="I19" i="2" s="1"/>
  <c r="H19" i="2"/>
  <c r="E32" i="2" l="1"/>
  <c r="E33" i="2" s="1"/>
  <c r="E31" i="2"/>
  <c r="E75" i="2" s="1"/>
  <c r="E23" i="2"/>
  <c r="E67" i="2" s="1"/>
  <c r="G21" i="2"/>
  <c r="I18" i="2"/>
  <c r="E77" i="2" l="1"/>
  <c r="E76" i="2"/>
  <c r="F5" i="2" a="1"/>
  <c r="F5" i="2" l="1"/>
  <c r="E8" i="2" s="1"/>
  <c r="E65" i="2" s="1"/>
  <c r="I17" i="1"/>
  <c r="G5" i="2" a="1"/>
  <c r="G5" i="2" l="1"/>
  <c r="E24" i="2" l="1"/>
  <c r="E68" i="2" s="1"/>
  <c r="E9" i="2"/>
  <c r="E66" i="2" s="1"/>
  <c r="E25" i="2" l="1"/>
  <c r="E69" i="2" s="1"/>
  <c r="D55" i="2"/>
  <c r="E55" i="2" s="1"/>
  <c r="D57" i="2" l="1"/>
  <c r="E56" i="2"/>
  <c r="E57" i="2" l="1"/>
  <c r="E28" i="2"/>
  <c r="D58" i="2"/>
  <c r="E58" i="2" s="1"/>
  <c r="E72" i="2" l="1"/>
  <c r="E29" i="2"/>
  <c r="E73" i="2" s="1"/>
  <c r="D59" i="2"/>
  <c r="E59" i="2" s="1"/>
  <c r="D111" i="2" l="1" a="1"/>
  <c r="D111" i="2" s="1"/>
  <c r="E111" i="2" s="1"/>
  <c r="D114" i="2" a="1"/>
  <c r="D114" i="2" s="1"/>
  <c r="E114" i="2" s="1"/>
  <c r="D113" i="2" a="1"/>
  <c r="D113" i="2" s="1"/>
  <c r="E113" i="2" s="1"/>
  <c r="D112" i="2" a="1"/>
  <c r="D112" i="2" s="1"/>
  <c r="E112" i="2" s="1"/>
  <c r="D110" i="2" a="1"/>
  <c r="D110" i="2" s="1"/>
  <c r="E110" i="2" s="1"/>
  <c r="E30" i="2"/>
  <c r="E74" i="2" s="1"/>
  <c r="D88" i="2" s="1" a="1"/>
  <c r="D88" i="2" s="1"/>
  <c r="E88" i="2" s="1"/>
  <c r="C110" i="2" l="1"/>
  <c r="D96" i="2" a="1"/>
  <c r="D96" i="2" s="1"/>
  <c r="E96" i="2" s="1"/>
  <c r="D103" i="2" a="1"/>
  <c r="D103" i="2" s="1"/>
  <c r="E103" i="2" s="1"/>
  <c r="D93" i="2" a="1"/>
  <c r="D93" i="2" s="1"/>
  <c r="E93" i="2" s="1"/>
  <c r="D95" i="2" a="1"/>
  <c r="D95" i="2" s="1"/>
  <c r="E95" i="2" s="1"/>
  <c r="D104" i="2" a="1"/>
  <c r="D104" i="2" s="1"/>
  <c r="E104" i="2" s="1"/>
  <c r="D101" i="2" a="1"/>
  <c r="D101" i="2" s="1"/>
  <c r="E101" i="2" s="1"/>
  <c r="D90" i="2" a="1"/>
  <c r="D90" i="2" s="1"/>
  <c r="E90" i="2" s="1"/>
  <c r="D94" i="2" a="1"/>
  <c r="D94" i="2" s="1"/>
  <c r="E94" i="2" s="1"/>
  <c r="D106" i="2" a="1"/>
  <c r="D106" i="2" s="1"/>
  <c r="E106" i="2" s="1"/>
  <c r="D102" i="2" a="1"/>
  <c r="D102" i="2" s="1"/>
  <c r="E102" i="2" s="1"/>
  <c r="D92" i="2" a="1"/>
  <c r="D92" i="2" s="1"/>
  <c r="E92" i="2" s="1"/>
  <c r="D91" i="2" a="1"/>
  <c r="D91" i="2" s="1"/>
  <c r="E91" i="2" s="1"/>
  <c r="D100" i="2" a="1"/>
  <c r="D100" i="2" s="1"/>
  <c r="E100" i="2" s="1"/>
  <c r="D105" i="2" a="1"/>
  <c r="D105" i="2" s="1"/>
  <c r="E105" i="2" s="1"/>
  <c r="D99" i="2" a="1"/>
  <c r="D99" i="2" s="1"/>
  <c r="E99" i="2" s="1"/>
  <c r="D97" i="2" a="1"/>
  <c r="D97" i="2" s="1"/>
  <c r="E97" i="2" s="1"/>
  <c r="D98" i="2" a="1"/>
  <c r="D98" i="2" s="1"/>
  <c r="E98" i="2" s="1"/>
  <c r="D89" i="2" a="1"/>
  <c r="D89" i="2" s="1"/>
  <c r="E89" i="2" s="1"/>
  <c r="D87" i="2" a="1"/>
  <c r="D87" i="2" s="1"/>
  <c r="E87" i="2" s="1"/>
  <c r="C81" i="2" a="1"/>
  <c r="C81" i="2" s="1"/>
  <c r="C82" i="2" a="1"/>
  <c r="C82" i="2" s="1"/>
  <c r="C83" i="2" a="1"/>
  <c r="C83" i="2" s="1"/>
  <c r="C87" i="2" l="1"/>
  <c r="A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Abisay Meléndez González</author>
  </authors>
  <commentList>
    <comment ref="G23" authorId="0" shapeId="0" xr:uid="{00000000-0006-0000-0000-000001000000}">
      <text>
        <r>
          <rPr>
            <sz val="9"/>
            <color indexed="81"/>
            <rFont val="Tahoma"/>
            <family val="2"/>
          </rPr>
          <t>¿El usuario o algún operador controla manualmente su encendido?</t>
        </r>
      </text>
    </comment>
    <comment ref="A26" authorId="0" shapeId="0" xr:uid="{00000000-0006-0000-0000-000002000000}">
      <text>
        <r>
          <rPr>
            <sz val="9"/>
            <color indexed="81"/>
            <rFont val="Tahoma"/>
            <family val="2"/>
          </rPr>
          <t>En todas sus aplicaciones: bombas, compresores, equipo electromecánico, bandas transportadoras, etc.</t>
        </r>
      </text>
    </comment>
    <comment ref="G30" authorId="0" shapeId="0" xr:uid="{00000000-0006-0000-0000-000003000000}">
      <text>
        <r>
          <rPr>
            <sz val="9"/>
            <color indexed="81"/>
            <rFont val="Tahoma"/>
            <family val="2"/>
          </rPr>
          <t>En decimal, de 0 a 1</t>
        </r>
      </text>
    </comment>
    <comment ref="I30" authorId="0" shapeId="0" xr:uid="{00000000-0006-0000-0000-000004000000}">
      <text>
        <r>
          <rPr>
            <sz val="9"/>
            <color indexed="81"/>
            <rFont val="Tahoma"/>
            <family val="2"/>
          </rPr>
          <t>En mayúscula</t>
        </r>
      </text>
    </comment>
    <comment ref="L30" authorId="0" shapeId="0" xr:uid="{00000000-0006-0000-0000-000005000000}">
      <text>
        <r>
          <rPr>
            <sz val="9"/>
            <color indexed="81"/>
            <rFont val="Tahoma"/>
            <family val="2"/>
          </rPr>
          <t>¿Para qué lo emplea?</t>
        </r>
      </text>
    </comment>
    <comment ref="A38" authorId="0" shapeId="0" xr:uid="{00000000-0006-0000-0000-000006000000}">
      <text>
        <r>
          <rPr>
            <sz val="9"/>
            <color indexed="81"/>
            <rFont val="Tahoma"/>
            <family val="2"/>
          </rPr>
          <t>• Cargas que usted considera de mayor consumo en su instalación. 
ejemplos: Plantas para soldar, hornos eléctricos, etc.
• Cargas presentes en su sitio en gran cantidad.</t>
        </r>
      </text>
    </comment>
    <comment ref="L42" authorId="0" shapeId="0" xr:uid="{00000000-0006-0000-0000-000007000000}">
      <text>
        <r>
          <rPr>
            <sz val="9"/>
            <color indexed="81"/>
            <rFont val="Tahoma"/>
            <family val="2"/>
          </rPr>
          <t>¿Cuál es su uso?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<sst xmlns="http://schemas.openxmlformats.org/spreadsheetml/2006/main" count="150" uniqueCount="129">
  <si>
    <t>EER</t>
  </si>
  <si>
    <t>BTUh</t>
  </si>
  <si>
    <t>Capacidad</t>
  </si>
  <si>
    <t>Valor</t>
  </si>
  <si>
    <t>Unidad</t>
  </si>
  <si>
    <t>Eficiencia</t>
  </si>
  <si>
    <t>Consumo [kW]</t>
  </si>
  <si>
    <t>Cantidad</t>
  </si>
  <si>
    <t>Tecnología</t>
  </si>
  <si>
    <t>Potencia</t>
  </si>
  <si>
    <t>Recomendaciones:</t>
  </si>
  <si>
    <t>LED</t>
  </si>
  <si>
    <t>Incandescente</t>
  </si>
  <si>
    <t>Halógena</t>
  </si>
  <si>
    <t>¿Interior o Exterior?</t>
  </si>
  <si>
    <t>¿Encendido manual?</t>
  </si>
  <si>
    <t>Tipo de sensor</t>
  </si>
  <si>
    <t>Consumo [W]</t>
  </si>
  <si>
    <t>Potencia [HP]</t>
  </si>
  <si>
    <t>Tensión [V]</t>
  </si>
  <si>
    <t>Factor de potencia</t>
  </si>
  <si>
    <t>rpm</t>
  </si>
  <si>
    <t>Letra código NEMA</t>
  </si>
  <si>
    <t>Baja California</t>
  </si>
  <si>
    <t xml:space="preserve">1. Costo fijo </t>
  </si>
  <si>
    <t>$/mes</t>
  </si>
  <si>
    <t xml:space="preserve">2. Costo por consumo </t>
  </si>
  <si>
    <t>$/kWh</t>
  </si>
  <si>
    <t>¿Suspensión automática?</t>
  </si>
  <si>
    <t>HVAC</t>
  </si>
  <si>
    <t>manual</t>
  </si>
  <si>
    <t>EER &lt;11</t>
  </si>
  <si>
    <t>Luminaria</t>
  </si>
  <si>
    <t>Fluorescente + CFL</t>
  </si>
  <si>
    <t>Total</t>
  </si>
  <si>
    <t>Pérdidas [W]</t>
  </si>
  <si>
    <t>% instalado</t>
  </si>
  <si>
    <t>Total NO LED</t>
  </si>
  <si>
    <t>Manual</t>
  </si>
  <si>
    <t>kW instalados</t>
  </si>
  <si>
    <t>Chihuahua</t>
  </si>
  <si>
    <t>Coahuila</t>
  </si>
  <si>
    <t>Nuevo León</t>
  </si>
  <si>
    <t>Durango</t>
  </si>
  <si>
    <t>Zacatecas</t>
  </si>
  <si>
    <t>Guanajuato</t>
  </si>
  <si>
    <t>San Luis Potosí</t>
  </si>
  <si>
    <t>Querétaro</t>
  </si>
  <si>
    <t>Hidalgo</t>
  </si>
  <si>
    <t>Estado de México</t>
  </si>
  <si>
    <t>Ciudad de México</t>
  </si>
  <si>
    <t>Tlaxcala</t>
  </si>
  <si>
    <t>Morelos</t>
  </si>
  <si>
    <t>Puebla</t>
  </si>
  <si>
    <t>Yucatán</t>
  </si>
  <si>
    <t>Michoacán</t>
  </si>
  <si>
    <t>Baja California Sur</t>
  </si>
  <si>
    <t>Campeche</t>
  </si>
  <si>
    <t>Colima</t>
  </si>
  <si>
    <t>Chiapas</t>
  </si>
  <si>
    <t>Guerrero</t>
  </si>
  <si>
    <t>Jalisco</t>
  </si>
  <si>
    <t>Nayarit</t>
  </si>
  <si>
    <t>Oaxaca</t>
  </si>
  <si>
    <t>Quintana Roo</t>
  </si>
  <si>
    <t>Sinaloa</t>
  </si>
  <si>
    <t>Sonora</t>
  </si>
  <si>
    <t>Tabasco</t>
  </si>
  <si>
    <t>Tamaulipas</t>
  </si>
  <si>
    <t>Veracruz</t>
  </si>
  <si>
    <t>Cantidad sin</t>
  </si>
  <si>
    <t>Fin</t>
  </si>
  <si>
    <t>Cantidad de equipos:</t>
  </si>
  <si>
    <t>Corriente nominal [A]</t>
  </si>
  <si>
    <t>Equipos HVAC</t>
  </si>
  <si>
    <t>Motores</t>
  </si>
  <si>
    <t>Computadoras</t>
  </si>
  <si>
    <t>Referencias</t>
  </si>
  <si>
    <t>Pérdidas en calor y radiación [W]</t>
  </si>
  <si>
    <t>Alimentación</t>
  </si>
  <si>
    <t>Factor de servicio</t>
  </si>
  <si>
    <t>Operación diaria [hrs]</t>
  </si>
  <si>
    <t>Tipo de servicio</t>
  </si>
  <si>
    <t>Potencia [W]</t>
  </si>
  <si>
    <t>Descripción</t>
  </si>
  <si>
    <t>Modelo</t>
  </si>
  <si>
    <t>Otro tipo de cargas</t>
  </si>
  <si>
    <t>FP &lt; 0.8</t>
  </si>
  <si>
    <t>hrs op &gt; 2</t>
  </si>
  <si>
    <t>A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</si>
  <si>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</si>
  <si>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</si>
  <si>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</si>
  <si>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</si>
  <si>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</si>
  <si>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</si>
  <si>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</si>
  <si>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</si>
  <si>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</si>
  <si>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</si>
  <si>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</si>
  <si>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</si>
  <si>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P</t>
  </si>
  <si>
    <t>R</t>
  </si>
  <si>
    <t>S</t>
  </si>
  <si>
    <t>T</t>
  </si>
  <si>
    <t>U</t>
  </si>
  <si>
    <t>V</t>
  </si>
  <si>
    <t>NEMA &gt; B</t>
  </si>
  <si>
    <t>Sin suspensión</t>
  </si>
  <si>
    <t>W sin</t>
  </si>
  <si>
    <t>Respuestas</t>
  </si>
  <si>
    <r>
      <t>Cantidad</t>
    </r>
    <r>
      <rPr>
        <b/>
        <sz val="11"/>
        <color rgb="FFFF0000"/>
        <rFont val="Calibri"/>
        <family val="2"/>
        <scheme val="minor"/>
      </rPr>
      <t>*</t>
    </r>
  </si>
  <si>
    <r>
      <t>Correo</t>
    </r>
    <r>
      <rPr>
        <b/>
        <sz val="11"/>
        <color rgb="FFFF0000"/>
        <rFont val="Calibri"/>
        <family val="2"/>
        <scheme val="minor"/>
      </rPr>
      <t>*</t>
    </r>
  </si>
  <si>
    <r>
      <t>Teléfono</t>
    </r>
    <r>
      <rPr>
        <b/>
        <sz val="11"/>
        <color rgb="FFFF0000"/>
        <rFont val="Calibri"/>
        <family val="2"/>
        <scheme val="minor"/>
      </rPr>
      <t>*</t>
    </r>
  </si>
  <si>
    <r>
      <t>Contacto</t>
    </r>
    <r>
      <rPr>
        <b/>
        <sz val="11"/>
        <color rgb="FFFF0000"/>
        <rFont val="Calibri"/>
        <family val="2"/>
        <scheme val="minor"/>
      </rPr>
      <t>*</t>
    </r>
  </si>
  <si>
    <r>
      <t>Estado</t>
    </r>
    <r>
      <rPr>
        <b/>
        <sz val="11"/>
        <color rgb="FFFF0000"/>
        <rFont val="Calibri"/>
        <family val="2"/>
        <scheme val="minor"/>
      </rPr>
      <t>*</t>
    </r>
  </si>
  <si>
    <r>
      <t>Ubicación</t>
    </r>
    <r>
      <rPr>
        <b/>
        <sz val="11"/>
        <color rgb="FFFF0000"/>
        <rFont val="Calibri"/>
        <family val="2"/>
        <scheme val="minor"/>
      </rPr>
      <t>*</t>
    </r>
  </si>
  <si>
    <r>
      <t>Compañía</t>
    </r>
    <r>
      <rPr>
        <b/>
        <sz val="11"/>
        <color rgb="FFFF0000"/>
        <rFont val="Calibri"/>
        <family val="2"/>
        <scheme val="minor"/>
      </rPr>
      <t>*</t>
    </r>
  </si>
  <si>
    <r>
      <t>Tarifa CFE</t>
    </r>
    <r>
      <rPr>
        <b/>
        <sz val="11"/>
        <color rgb="FFFF0000"/>
        <rFont val="Calibri"/>
        <family val="2"/>
        <scheme val="minor"/>
      </rPr>
      <t>*</t>
    </r>
  </si>
  <si>
    <t>Respuestas filtradas</t>
  </si>
  <si>
    <t>Referencias filtradas</t>
  </si>
  <si>
    <t/>
  </si>
  <si>
    <r>
      <rPr>
        <b/>
        <sz val="11"/>
        <color rgb="FF0070C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 No es posible ahorrar en este rubro</t>
    </r>
  </si>
  <si>
    <t>• Encender equipos HVAC de manera simultanea podría significar un aumento en el costo por demanda, debe controlar la filosofía de operación.</t>
  </si>
  <si>
    <t>• Tener equipos HVAC instalados con un SEER menor a 13 implica mantener un sistema ineficiente, aumentando el costo por consumo.</t>
  </si>
  <si>
    <t>• Si los sistemas HVAC instalados no son tecnología HMX, debería considerar su reemplazo, con esto podría reducir entre 53-95% su consumo actual. [1]</t>
  </si>
  <si>
    <t>[1] Según el tiempo de operación de compresores y la reducción del consumo pico (demanda) en referencia a los sistemas HVAC tradicionales.</t>
  </si>
  <si>
    <t>La tecnología híbrida HMX (Heat mass exchanger) no emplea compresores ni refrigerante para enfriar.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</si>
</sst>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sz val="10.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ACC5AF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vertAlign val="superscript"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CC5AF"/>
        <bgColor indexed="64"/>
      </patternFill>
    </fill>
    <fill>
      <patternFill patternType="solid">
        <fgColor theme="1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" fillId="6" borderId="0" applyNumberFormat="0" applyBorder="0" applyAlignment="0" applyProtection="0"/>
  </cellStyleXfs>
  <cellXfs count="132">
    <xf numFmtId="0" fontId="0" fillId="0" borderId="0" xfId="0"/>
    <xf numFmtId="0" fontId="6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0" fillId="5" borderId="0" xfId="0" applyFont="1" applyFill="1" applyAlignment="1" applyProtection="1">
      <alignment horizontal="left" vertical="center"/>
      <protection hidden="1"/>
    </xf>
    <xf numFmtId="0" fontId="0" fillId="5" borderId="0" xfId="0" applyFont="1" applyFill="1" applyProtection="1"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0" fontId="0" fillId="5" borderId="0" xfId="0" applyFill="1" applyAlignment="1" applyProtection="1">
      <alignment horizontal="left" vertical="center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5" fillId="5" borderId="0" xfId="0" applyFont="1" applyFill="1" applyProtection="1">
      <protection hidden="1"/>
    </xf>
    <xf numFmtId="0" fontId="0" fillId="5" borderId="0" xfId="0" applyFill="1" applyAlignment="1" applyProtection="1">
      <protection hidden="1"/>
    </xf>
    <xf numFmtId="0" fontId="8" fillId="5" borderId="0" xfId="0" applyFont="1" applyFill="1" applyProtection="1"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8" fillId="2" borderId="0" xfId="2" applyFont="1" applyBorder="1" applyAlignment="1" applyProtection="1">
      <alignment horizontal="center" vertical="center"/>
      <protection locked="0"/>
    </xf>
    <xf numFmtId="0" fontId="0" fillId="5" borderId="0" xfId="0" applyFill="1" applyProtection="1">
      <protection locked="0" hidden="1"/>
    </xf>
    <xf numFmtId="0" fontId="8" fillId="5" borderId="0" xfId="0" applyFont="1" applyFill="1" applyAlignment="1" applyProtection="1">
      <alignment horizontal="center" vertical="center"/>
      <protection locked="0" hidden="1"/>
    </xf>
    <xf numFmtId="0" fontId="6" fillId="5" borderId="0" xfId="0" applyFont="1" applyFill="1" applyAlignment="1" applyProtection="1">
      <alignment horizontal="center" vertical="center"/>
      <protection locked="0" hidden="1"/>
    </xf>
    <xf numFmtId="0" fontId="5" fillId="5" borderId="0" xfId="0" applyFont="1" applyFill="1" applyProtection="1">
      <protection locked="0" hidden="1"/>
    </xf>
    <xf numFmtId="0" fontId="0" fillId="5" borderId="0" xfId="0" applyFill="1" applyAlignment="1" applyProtection="1">
      <protection locked="0" hidden="1"/>
    </xf>
    <xf numFmtId="0" fontId="0" fillId="0" borderId="0" xfId="0" applyFill="1" applyProtection="1">
      <protection locked="0" hidden="1"/>
    </xf>
    <xf numFmtId="0" fontId="8" fillId="2" borderId="3" xfId="2" applyFont="1" applyBorder="1" applyAlignment="1" applyProtection="1">
      <alignment horizontal="center" vertical="center"/>
      <protection locked="0" hidden="1"/>
    </xf>
    <xf numFmtId="0" fontId="8" fillId="5" borderId="0" xfId="0" applyFont="1" applyFill="1" applyProtection="1">
      <protection locked="0" hidden="1"/>
    </xf>
    <xf numFmtId="0" fontId="9" fillId="4" borderId="3" xfId="4" applyFont="1" applyBorder="1" applyAlignment="1" applyProtection="1">
      <alignment horizontal="center" vertical="center"/>
      <protection locked="0" hidden="1"/>
    </xf>
    <xf numFmtId="165" fontId="9" fillId="3" borderId="3" xfId="3" applyNumberFormat="1" applyFont="1" applyBorder="1" applyAlignment="1" applyProtection="1">
      <alignment horizontal="center" vertical="center"/>
      <protection locked="0" hidden="1"/>
    </xf>
    <xf numFmtId="0" fontId="0" fillId="5" borderId="0" xfId="0" applyFill="1" applyAlignment="1" applyProtection="1">
      <alignment horizontal="center" vertical="center"/>
      <protection locked="0" hidden="1"/>
    </xf>
    <xf numFmtId="0" fontId="0" fillId="5" borderId="0" xfId="0" applyFill="1" applyAlignment="1" applyProtection="1">
      <alignment wrapText="1"/>
      <protection locked="0" hidden="1"/>
    </xf>
    <xf numFmtId="0" fontId="9" fillId="4" borderId="3" xfId="4" applyFont="1" applyBorder="1" applyAlignment="1" applyProtection="1">
      <alignment horizontal="center" vertical="center" wrapText="1"/>
      <protection locked="0" hidden="1"/>
    </xf>
    <xf numFmtId="0" fontId="8" fillId="2" borderId="3" xfId="2" applyFont="1" applyBorder="1" applyAlignment="1" applyProtection="1">
      <alignment horizontal="center" vertical="center" wrapText="1"/>
      <protection locked="0" hidden="1"/>
    </xf>
    <xf numFmtId="0" fontId="10" fillId="4" borderId="3" xfId="4" applyFont="1" applyBorder="1" applyAlignment="1" applyProtection="1">
      <alignment horizontal="center" vertical="center" wrapText="1"/>
      <protection locked="0" hidden="1"/>
    </xf>
    <xf numFmtId="0" fontId="5" fillId="4" borderId="3" xfId="4" applyFont="1" applyBorder="1" applyAlignment="1" applyProtection="1">
      <alignment horizontal="center" vertical="center" wrapText="1"/>
      <protection locked="0" hidden="1"/>
    </xf>
    <xf numFmtId="0" fontId="8" fillId="2" borderId="3" xfId="1" applyNumberFormat="1" applyFont="1" applyFill="1" applyBorder="1" applyAlignment="1" applyProtection="1">
      <alignment horizontal="center" vertical="center"/>
      <protection locked="0" hidden="1"/>
    </xf>
    <xf numFmtId="0" fontId="12" fillId="5" borderId="0" xfId="0" applyFont="1" applyFill="1" applyProtection="1">
      <protection locked="0" hidden="1"/>
    </xf>
    <xf numFmtId="0" fontId="10" fillId="4" borderId="3" xfId="4" applyFont="1" applyBorder="1" applyAlignment="1" applyProtection="1">
      <alignment horizontal="center" vertical="center"/>
      <protection locked="0" hidden="1"/>
    </xf>
    <xf numFmtId="0" fontId="4" fillId="5" borderId="0" xfId="0" applyFont="1" applyFill="1" applyProtection="1">
      <protection locked="0" hidden="1"/>
    </xf>
    <xf numFmtId="0" fontId="14" fillId="7" borderId="0" xfId="0" applyFont="1" applyFill="1" applyAlignment="1" applyProtection="1">
      <alignment horizontal="center" vertical="center"/>
      <protection hidden="1"/>
    </xf>
    <xf numFmtId="0" fontId="14" fillId="7" borderId="0" xfId="0" applyFont="1" applyFill="1" applyProtection="1">
      <protection hidden="1"/>
    </xf>
    <xf numFmtId="0" fontId="0" fillId="7" borderId="0" xfId="0" applyFill="1" applyProtection="1">
      <protection hidden="1"/>
    </xf>
    <xf numFmtId="0" fontId="14" fillId="7" borderId="0" xfId="0" applyFont="1" applyFill="1" applyBorder="1" applyAlignment="1" applyProtection="1">
      <alignment horizontal="center" vertical="center"/>
      <protection hidden="1"/>
    </xf>
    <xf numFmtId="0" fontId="14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0" fillId="7" borderId="0" xfId="0" applyFill="1" applyAlignment="1" applyProtection="1"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0" xfId="0" applyFill="1" applyAlignment="1" applyProtection="1">
      <alignment vertical="center"/>
      <protection hidden="1"/>
    </xf>
    <xf numFmtId="10" fontId="0" fillId="5" borderId="0" xfId="1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Border="1" applyProtection="1">
      <protection hidden="1"/>
    </xf>
    <xf numFmtId="0" fontId="1" fillId="6" borderId="3" xfId="5" applyBorder="1" applyAlignment="1" applyProtection="1">
      <alignment horizontal="center" vertical="center"/>
      <protection locked="0" hidden="1"/>
    </xf>
    <xf numFmtId="0" fontId="8" fillId="5" borderId="0" xfId="0" applyFont="1" applyFill="1" applyAlignment="1" applyProtection="1">
      <alignment horizontal="left" vertical="center"/>
      <protection hidden="1"/>
    </xf>
    <xf numFmtId="0" fontId="8" fillId="5" borderId="15" xfId="0" applyFont="1" applyFill="1" applyBorder="1" applyAlignment="1" applyProtection="1">
      <alignment horizontal="left" vertical="center"/>
      <protection hidden="1"/>
    </xf>
    <xf numFmtId="0" fontId="8" fillId="5" borderId="16" xfId="0" applyFont="1" applyFill="1" applyBorder="1" applyAlignment="1" applyProtection="1">
      <alignment horizontal="left" vertical="center"/>
      <protection hidden="1"/>
    </xf>
    <xf numFmtId="0" fontId="8" fillId="5" borderId="17" xfId="0" applyFont="1" applyFill="1" applyBorder="1" applyAlignment="1" applyProtection="1">
      <alignment horizontal="left" vertical="center"/>
      <protection hidden="1"/>
    </xf>
    <xf numFmtId="0" fontId="8" fillId="5" borderId="18" xfId="0" applyFont="1" applyFill="1" applyBorder="1" applyAlignment="1" applyProtection="1">
      <alignment horizontal="left" vertical="center"/>
      <protection hidden="1"/>
    </xf>
    <xf numFmtId="0" fontId="8" fillId="5" borderId="19" xfId="0" applyFont="1" applyFill="1" applyBorder="1" applyAlignment="1" applyProtection="1">
      <alignment horizontal="left" vertical="center"/>
      <protection hidden="1"/>
    </xf>
    <xf numFmtId="0" fontId="8" fillId="5" borderId="20" xfId="0" applyFont="1" applyFill="1" applyBorder="1" applyAlignment="1" applyProtection="1">
      <alignment horizontal="left" vertical="center"/>
      <protection hidden="1"/>
    </xf>
    <xf numFmtId="0" fontId="16" fillId="8" borderId="3" xfId="0" applyFont="1" applyFill="1" applyBorder="1" applyAlignment="1" applyProtection="1">
      <alignment vertical="center" wrapText="1"/>
    </xf>
    <xf numFmtId="0" fontId="16" fillId="8" borderId="3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Alignment="1" applyProtection="1">
      <alignment horizontal="center" vertical="center"/>
    </xf>
    <xf numFmtId="0" fontId="8" fillId="8" borderId="0" xfId="0" applyFont="1" applyFill="1" applyProtection="1"/>
    <xf numFmtId="0" fontId="9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/>
    <xf numFmtId="0" fontId="9" fillId="8" borderId="3" xfId="0" applyFont="1" applyFill="1" applyBorder="1" applyAlignment="1" applyProtection="1">
      <alignment horizontal="center" vertical="center"/>
    </xf>
    <xf numFmtId="0" fontId="9" fillId="8" borderId="0" xfId="0" applyFont="1" applyFill="1" applyAlignment="1" applyProtection="1">
      <alignment horizontal="center" vertical="center"/>
    </xf>
    <xf numFmtId="0" fontId="17" fillId="8" borderId="3" xfId="0" applyFont="1" applyFill="1" applyBorder="1" applyAlignment="1" applyProtection="1">
      <alignment horizontal="center" vertical="center"/>
    </xf>
    <xf numFmtId="2" fontId="8" fillId="8" borderId="3" xfId="0" applyNumberFormat="1" applyFont="1" applyFill="1" applyBorder="1" applyAlignment="1" applyProtection="1">
      <alignment horizontal="center" vertical="center"/>
    </xf>
    <xf numFmtId="0" fontId="18" fillId="8" borderId="0" xfId="0" applyFont="1" applyFill="1" applyProtection="1"/>
    <xf numFmtId="0" fontId="8" fillId="8" borderId="6" xfId="0" applyFont="1" applyFill="1" applyBorder="1" applyProtection="1"/>
    <xf numFmtId="0" fontId="8" fillId="8" borderId="7" xfId="0" applyFont="1" applyFill="1" applyBorder="1" applyProtection="1"/>
    <xf numFmtId="0" fontId="8" fillId="8" borderId="7" xfId="0" applyFont="1" applyFill="1" applyBorder="1" applyAlignment="1" applyProtection="1">
      <alignment horizontal="center" vertical="center"/>
    </xf>
    <xf numFmtId="0" fontId="8" fillId="8" borderId="8" xfId="0" applyFont="1" applyFill="1" applyBorder="1" applyProtection="1"/>
    <xf numFmtId="0" fontId="8" fillId="8" borderId="9" xfId="0" applyFont="1" applyFill="1" applyBorder="1" applyAlignment="1" applyProtection="1">
      <alignment horizontal="left" vertical="center"/>
    </xf>
    <xf numFmtId="0" fontId="8" fillId="8" borderId="0" xfId="0" applyFont="1" applyFill="1" applyBorder="1" applyAlignment="1" applyProtection="1">
      <alignment horizontal="center" vertical="center"/>
    </xf>
    <xf numFmtId="0" fontId="8" fillId="8" borderId="0" xfId="0" applyFont="1" applyFill="1" applyBorder="1" applyProtection="1"/>
    <xf numFmtId="0" fontId="8" fillId="8" borderId="10" xfId="0" applyFont="1" applyFill="1" applyBorder="1" applyProtection="1"/>
    <xf numFmtId="0" fontId="8" fillId="8" borderId="11" xfId="0" applyFont="1" applyFill="1" applyBorder="1" applyAlignment="1" applyProtection="1">
      <alignment horizontal="left" vertical="center"/>
    </xf>
    <xf numFmtId="0" fontId="8" fillId="8" borderId="12" xfId="0" applyFont="1" applyFill="1" applyBorder="1" applyAlignment="1" applyProtection="1">
      <alignment horizontal="center" vertical="center"/>
    </xf>
    <xf numFmtId="0" fontId="8" fillId="8" borderId="12" xfId="0" applyFont="1" applyFill="1" applyBorder="1" applyProtection="1"/>
    <xf numFmtId="0" fontId="8" fillId="8" borderId="13" xfId="0" applyFont="1" applyFill="1" applyBorder="1" applyProtection="1"/>
    <xf numFmtId="0" fontId="16" fillId="8" borderId="3" xfId="0" applyFont="1" applyFill="1" applyBorder="1" applyProtection="1"/>
    <xf numFmtId="0" fontId="16" fillId="8" borderId="3" xfId="0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/>
    </xf>
    <xf numFmtId="0" fontId="8" fillId="8" borderId="0" xfId="0" applyFont="1" applyFill="1" applyAlignment="1" applyProtection="1">
      <alignment horizontal="left" vertical="center"/>
    </xf>
    <xf numFmtId="0" fontId="9" fillId="8" borderId="0" xfId="0" applyFont="1" applyFill="1" applyAlignment="1" applyProtection="1"/>
    <xf numFmtId="9" fontId="8" fillId="8" borderId="3" xfId="1" applyNumberFormat="1" applyFont="1" applyFill="1" applyBorder="1" applyAlignment="1" applyProtection="1">
      <alignment horizontal="center" vertical="center"/>
    </xf>
    <xf numFmtId="3" fontId="8" fillId="8" borderId="3" xfId="0" applyNumberFormat="1" applyFont="1" applyFill="1" applyBorder="1" applyAlignment="1" applyProtection="1">
      <alignment horizontal="center" vertical="center"/>
    </xf>
    <xf numFmtId="0" fontId="8" fillId="8" borderId="3" xfId="0" applyFont="1" applyFill="1" applyBorder="1" applyAlignment="1" applyProtection="1">
      <alignment horizontal="center"/>
    </xf>
    <xf numFmtId="0" fontId="19" fillId="8" borderId="0" xfId="0" applyFont="1" applyFill="1" applyProtection="1"/>
    <xf numFmtId="9" fontId="8" fillId="8" borderId="3" xfId="0" applyNumberFormat="1" applyFont="1" applyFill="1" applyBorder="1" applyAlignment="1" applyProtection="1">
      <alignment horizontal="center" vertical="center"/>
    </xf>
    <xf numFmtId="164" fontId="8" fillId="8" borderId="3" xfId="1" applyNumberFormat="1" applyFont="1" applyFill="1" applyBorder="1" applyAlignment="1" applyProtection="1">
      <alignment horizontal="center" vertical="center"/>
    </xf>
    <xf numFmtId="10" fontId="8" fillId="8" borderId="0" xfId="1" applyNumberFormat="1" applyFont="1" applyFill="1" applyAlignment="1" applyProtection="1">
      <alignment horizontal="center" vertical="center"/>
    </xf>
    <xf numFmtId="0" fontId="8" fillId="8" borderId="9" xfId="0" applyFont="1" applyFill="1" applyBorder="1" applyProtection="1"/>
    <xf numFmtId="0" fontId="8" fillId="8" borderId="0" xfId="0" applyFont="1" applyFill="1" applyBorder="1" applyAlignment="1" applyProtection="1">
      <alignment vertical="center" wrapText="1"/>
    </xf>
    <xf numFmtId="0" fontId="8" fillId="8" borderId="0" xfId="0" applyFont="1" applyFill="1" applyBorder="1" applyAlignment="1" applyProtection="1">
      <alignment wrapText="1"/>
    </xf>
    <xf numFmtId="0" fontId="16" fillId="8" borderId="0" xfId="0" applyFont="1" applyFill="1" applyBorder="1" applyAlignment="1" applyProtection="1">
      <alignment vertical="center" wrapText="1"/>
    </xf>
    <xf numFmtId="0" fontId="16" fillId="8" borderId="0" xfId="0" applyFont="1" applyFill="1" applyBorder="1" applyProtection="1"/>
    <xf numFmtId="0" fontId="16" fillId="8" borderId="0" xfId="0" applyFont="1" applyFill="1" applyBorder="1" applyAlignment="1" applyProtection="1">
      <alignment horizontal="center" vertical="center"/>
    </xf>
    <xf numFmtId="0" fontId="8" fillId="8" borderId="11" xfId="0" applyFont="1" applyFill="1" applyBorder="1" applyProtection="1"/>
    <xf numFmtId="0" fontId="9" fillId="8" borderId="0" xfId="0" applyFont="1" applyFill="1" applyProtection="1"/>
    <xf numFmtId="0" fontId="8" fillId="8" borderId="0" xfId="0" applyFont="1" applyFill="1" applyAlignment="1" applyProtection="1">
      <alignment horizontal="center"/>
    </xf>
    <xf numFmtId="0" fontId="9" fillId="8" borderId="0" xfId="0" applyFont="1" applyFill="1" applyBorder="1" applyProtection="1"/>
    <xf numFmtId="0" fontId="8" fillId="8" borderId="6" xfId="0" applyFont="1" applyFill="1" applyBorder="1" applyAlignment="1" applyProtection="1">
      <alignment horizontal="center" vertical="center"/>
    </xf>
    <xf numFmtId="0" fontId="8" fillId="8" borderId="6" xfId="0" applyFont="1" applyFill="1" applyBorder="1" applyAlignment="1" applyProtection="1">
      <alignment horizontal="left" vertical="center"/>
    </xf>
    <xf numFmtId="0" fontId="8" fillId="8" borderId="9" xfId="0" applyFont="1" applyFill="1" applyBorder="1" applyAlignment="1" applyProtection="1">
      <alignment horizontal="center" vertical="center"/>
    </xf>
    <xf numFmtId="0" fontId="8" fillId="8" borderId="11" xfId="0" applyFont="1" applyFill="1" applyBorder="1" applyAlignment="1" applyProtection="1">
      <alignment horizontal="center" vertical="center"/>
    </xf>
    <xf numFmtId="0" fontId="8" fillId="8" borderId="21" xfId="0" applyFont="1" applyFill="1" applyBorder="1" applyAlignment="1" applyProtection="1">
      <alignment horizontal="center" vertical="center"/>
    </xf>
    <xf numFmtId="0" fontId="8" fillId="8" borderId="22" xfId="0" applyFont="1" applyFill="1" applyBorder="1" applyAlignment="1" applyProtection="1">
      <alignment horizontal="center" vertical="center"/>
    </xf>
    <xf numFmtId="0" fontId="8" fillId="8" borderId="23" xfId="0" applyFont="1" applyFill="1" applyBorder="1" applyAlignment="1" applyProtection="1">
      <alignment horizontal="center" vertical="center"/>
    </xf>
    <xf numFmtId="0" fontId="8" fillId="8" borderId="24" xfId="0" applyFont="1" applyFill="1" applyBorder="1" applyAlignment="1" applyProtection="1">
      <alignment horizontal="center" vertical="center"/>
    </xf>
    <xf numFmtId="0" fontId="8" fillId="8" borderId="3" xfId="0" applyFont="1" applyFill="1" applyBorder="1" applyAlignment="1" applyProtection="1">
      <alignment horizontal="center" vertical="center"/>
    </xf>
    <xf numFmtId="0" fontId="9" fillId="4" borderId="4" xfId="4" applyFont="1" applyBorder="1" applyAlignment="1" applyProtection="1">
      <alignment horizontal="center" vertical="center" wrapText="1"/>
      <protection locked="0" hidden="1"/>
    </xf>
    <xf numFmtId="0" fontId="9" fillId="4" borderId="14" xfId="4" applyFont="1" applyBorder="1" applyAlignment="1" applyProtection="1">
      <alignment horizontal="center" vertical="center" wrapText="1"/>
      <protection locked="0" hidden="1"/>
    </xf>
    <xf numFmtId="0" fontId="9" fillId="4" borderId="5" xfId="4" applyFont="1" applyBorder="1" applyAlignment="1" applyProtection="1">
      <alignment horizontal="center" vertical="center" wrapText="1"/>
      <protection locked="0" hidden="1"/>
    </xf>
    <xf numFmtId="0" fontId="8" fillId="2" borderId="4" xfId="2" applyFont="1" applyBorder="1" applyAlignment="1" applyProtection="1">
      <alignment horizontal="left" vertical="center"/>
      <protection locked="0" hidden="1"/>
    </xf>
    <xf numFmtId="0" fontId="8" fillId="2" borderId="14" xfId="2" applyFont="1" applyBorder="1" applyAlignment="1" applyProtection="1">
      <alignment horizontal="left" vertical="center"/>
      <protection locked="0" hidden="1"/>
    </xf>
    <xf numFmtId="0" fontId="8" fillId="2" borderId="5" xfId="2" applyFont="1" applyBorder="1" applyAlignment="1" applyProtection="1">
      <alignment horizontal="left" vertical="center"/>
      <protection locked="0" hidden="1"/>
    </xf>
    <xf numFmtId="0" fontId="8" fillId="2" borderId="4" xfId="2" applyFont="1" applyBorder="1" applyAlignment="1" applyProtection="1">
      <alignment horizontal="center" vertical="center"/>
      <protection locked="0" hidden="1"/>
    </xf>
    <xf numFmtId="0" fontId="8" fillId="2" borderId="5" xfId="2" applyFont="1" applyBorder="1" applyAlignment="1" applyProtection="1">
      <alignment horizontal="center" vertical="center"/>
      <protection locked="0" hidden="1"/>
    </xf>
    <xf numFmtId="0" fontId="8" fillId="2" borderId="3" xfId="2" applyFont="1" applyBorder="1" applyAlignment="1" applyProtection="1">
      <alignment horizontal="left" vertical="center"/>
      <protection locked="0" hidden="1"/>
    </xf>
    <xf numFmtId="0" fontId="5" fillId="4" borderId="3" xfId="4" applyFont="1" applyBorder="1" applyAlignment="1" applyProtection="1">
      <alignment horizontal="center" vertical="center" wrapText="1"/>
      <protection locked="0" hidden="1"/>
    </xf>
    <xf numFmtId="0" fontId="9" fillId="4" borderId="3" xfId="4" applyFont="1" applyBorder="1" applyAlignment="1" applyProtection="1">
      <alignment horizontal="center" vertical="center"/>
      <protection locked="0" hidden="1"/>
    </xf>
    <xf numFmtId="0" fontId="8" fillId="2" borderId="0" xfId="2" applyFont="1" applyBorder="1" applyAlignment="1" applyProtection="1">
      <alignment horizontal="left" vertical="center"/>
      <protection locked="0"/>
    </xf>
    <xf numFmtId="0" fontId="5" fillId="4" borderId="3" xfId="4" applyFont="1" applyBorder="1" applyAlignment="1" applyProtection="1">
      <alignment horizontal="center" wrapText="1"/>
      <protection locked="0" hidden="1"/>
    </xf>
    <xf numFmtId="0" fontId="9" fillId="4" borderId="3" xfId="4" applyFont="1" applyBorder="1" applyAlignment="1" applyProtection="1">
      <alignment horizontal="center" vertical="center" wrapText="1"/>
      <protection locked="0" hidden="1"/>
    </xf>
    <xf numFmtId="0" fontId="9" fillId="8" borderId="3" xfId="0" applyFont="1" applyFill="1" applyBorder="1" applyAlignment="1" applyProtection="1">
      <alignment horizontal="center"/>
    </xf>
    <xf numFmtId="0" fontId="8" fillId="8" borderId="3" xfId="4" applyFont="1" applyFill="1" applyBorder="1" applyAlignment="1" applyProtection="1">
      <alignment horizontal="center" vertical="center"/>
    </xf>
    <xf numFmtId="0" fontId="8" fillId="8" borderId="3" xfId="0" applyFont="1" applyFill="1" applyBorder="1" applyAlignment="1" applyProtection="1">
      <alignment horizontal="center" vertical="center"/>
    </xf>
    <xf numFmtId="0" fontId="9" fillId="8" borderId="4" xfId="0" applyFont="1" applyFill="1" applyBorder="1" applyAlignment="1" applyProtection="1">
      <alignment horizontal="center" vertical="center"/>
    </xf>
    <xf numFmtId="0" fontId="9" fillId="8" borderId="5" xfId="0" applyFont="1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  <protection hidden="1"/>
    </xf>
    <xf numFmtId="0" fontId="16" fillId="8" borderId="25" xfId="0" applyFont="1" applyFill="1" applyBorder="1" applyAlignment="1" applyProtection="1">
      <alignment horizontal="center"/>
    </xf>
  </cellXfs>
  <cellStyles count="6">
    <cellStyle name="20% - Énfasis3" xfId="5" builtinId="38" customBuiltin="1"/>
    <cellStyle name="Cálculo" xfId="3" builtinId="22"/>
    <cellStyle name="Entrada" xfId="2" builtinId="20"/>
    <cellStyle name="Normal" xfId="0" builtinId="0"/>
    <cellStyle name="Notas" xfId="4" builtinId="10"/>
    <cellStyle name="Porcentaje" xfId="1" builtinId="5"/>
  </cellStyles>
  <dxfs count="5">
    <dxf>
      <font>
        <color theme="6" tint="0.79998168889431442"/>
      </font>
    </dxf>
    <dxf>
      <font>
        <color theme="6" tint="0.79998168889431442"/>
      </font>
    </dxf>
    <dxf>
      <font>
        <color rgb="FF9C0006"/>
      </font>
      <fill>
        <patternFill>
          <bgColor rgb="FFFFC7CE"/>
        </patternFill>
      </fill>
    </dxf>
    <dxf>
      <font>
        <color theme="6" tint="0.79998168889431442"/>
      </font>
    </dxf>
    <dxf>
      <font>
        <color theme="6" tint="0.79998168889431442"/>
      </font>
    </dxf>
  </dxfs>
  <tableStyles count="0" defaultTableStyle="TableStyleMedium2" defaultPivotStyle="PivotStyleLight16"/>
  <colors>
    <mruColors>
      <color rgb="FFACC5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genueve.com" TargetMode="External"/><Relationship Id="rId2" Type="http://schemas.openxmlformats.org/officeDocument/2006/relationships/image" Target="../media/image3.jpg"/><Relationship Id="rId1" Type="http://schemas.openxmlformats.org/officeDocument/2006/relationships/hyperlink" Target="http://www.ingenueve.co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jpeg"/><Relationship Id="rId1" Type="http://schemas.openxmlformats.org/officeDocument/2006/relationships/hyperlink" Target="http://www.ingenueve.com/" TargetMode="External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0</xdr:rowOff>
        </xdr:from>
        <xdr:to>
          <xdr:col>3</xdr:col>
          <xdr:colOff>114300</xdr:colOff>
          <xdr:row>13</xdr:row>
          <xdr:rowOff>19050</xdr:rowOff>
        </xdr:to>
        <xdr:sp macro="" textlink="">
          <xdr:nvSpPr>
            <xdr:cNvPr id="1094" name="HVAC_ctrl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180868</xdr:colOff>
      <xdr:row>1</xdr:row>
      <xdr:rowOff>65899</xdr:rowOff>
    </xdr:from>
    <xdr:to>
      <xdr:col>2</xdr:col>
      <xdr:colOff>447261</xdr:colOff>
      <xdr:row>6</xdr:row>
      <xdr:rowOff>134228</xdr:rowOff>
    </xdr:to>
    <xdr:pic>
      <xdr:nvPicPr>
        <xdr:cNvPr id="6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216" y="256399"/>
          <a:ext cx="1028393" cy="1020829"/>
        </a:xfrm>
        <a:prstGeom prst="rect">
          <a:avLst/>
        </a:prstGeom>
      </xdr:spPr>
    </xdr:pic>
    <xdr:clientData/>
  </xdr:twoCellAnchor>
  <xdr:twoCellAnchor>
    <xdr:from>
      <xdr:col>8</xdr:col>
      <xdr:colOff>347868</xdr:colOff>
      <xdr:row>0</xdr:row>
      <xdr:rowOff>157368</xdr:rowOff>
    </xdr:from>
    <xdr:to>
      <xdr:col>10</xdr:col>
      <xdr:colOff>588063</xdr:colOff>
      <xdr:row>7</xdr:row>
      <xdr:rowOff>173933</xdr:rowOff>
    </xdr:to>
    <xdr:sp macro="" textlink="">
      <xdr:nvSpPr>
        <xdr:cNvPr id="9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/>
        </xdr:cNvSpPr>
      </xdr:nvSpPr>
      <xdr:spPr bwMode="auto">
        <a:xfrm>
          <a:off x="5946911" y="157368"/>
          <a:ext cx="1789043" cy="13500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12700" cap="flat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ysClr val="windowText" lastClr="000000"/>
              </a:solidFill>
              <a:latin typeface="Handwriting - Dakota"/>
              <a:ea typeface="Handwriting - Dakota"/>
              <a:cs typeface="Handwriting - Dakota"/>
            </a:rPr>
            <a:t>Powered by: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rgbClr val="FF8000"/>
              </a:solidFill>
              <a:latin typeface="Handwriting - Dakota"/>
              <a:ea typeface="Handwriting - Dakota"/>
              <a:cs typeface="Handwriting - Dakota"/>
            </a:rPr>
            <a:t>In-G9</a:t>
          </a:r>
          <a:r>
            <a:rPr lang="en-US" sz="1600" b="0" i="0" u="none" strike="noStrike" baseline="0">
              <a:solidFill>
                <a:srgbClr val="000000"/>
              </a:solidFill>
              <a:latin typeface="Helvetica Neue"/>
              <a:ea typeface="Helvetica Neue"/>
              <a:cs typeface="Helvetica Neue"/>
            </a:rPr>
            <a:t> </a:t>
          </a:r>
          <a:r>
            <a:rPr lang="en-US" sz="1100" b="1" i="0" u="none" strike="noStrike" baseline="0">
              <a:solidFill>
                <a:srgbClr val="408000"/>
              </a:solidFill>
              <a:latin typeface="Helvetica"/>
              <a:ea typeface="Helvetica"/>
              <a:cs typeface="Helvetica"/>
            </a:rPr>
            <a:t>Energía Inteligente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Medium"/>
              <a:ea typeface="Helvetica Neue Medium"/>
              <a:cs typeface="Helvetica Neue Medium"/>
            </a:rPr>
            <a:t>Grupo G9 SA de CV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Light"/>
              <a:ea typeface="Helvetica Neue Light"/>
              <a:cs typeface="Helvetica Neue Light"/>
            </a:rPr>
            <a:t>Colina de los Acónitos No. 43 -305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Light"/>
              <a:ea typeface="Helvetica Neue Light"/>
              <a:cs typeface="Helvetica Neue Light"/>
            </a:rPr>
            <a:t>Boulevares, Naucalpan.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Light"/>
              <a:ea typeface="Helvetica Neue Light"/>
              <a:cs typeface="Helvetica Neue Light"/>
            </a:rPr>
            <a:t>E.M. C.P. 53140. </a:t>
          </a:r>
        </a:p>
        <a:p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Helvetica Neue"/>
              <a:ea typeface="Helvetica Neue"/>
              <a:cs typeface="Helvetica Neue"/>
            </a:rPr>
            <a:t>Tel. (55) 24-87-22-96</a:t>
          </a:r>
        </a:p>
        <a:p>
          <a:pPr algn="ctr" rtl="0">
            <a:defRPr sz="1000"/>
          </a:pPr>
          <a:r>
            <a:rPr lang="en-US" sz="900" b="1" i="0" u="sng" strike="noStrike" baseline="0">
              <a:solidFill>
                <a:srgbClr val="00B0F0"/>
              </a:solidFill>
              <a:latin typeface="Helvetica Neue"/>
              <a:ea typeface="Helvetica Neue"/>
              <a:cs typeface="Helvetica Neue"/>
            </a:rPr>
            <a:t>www.ingenueve.com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20</xdr:row>
          <xdr:rowOff>0</xdr:rowOff>
        </xdr:from>
        <xdr:to>
          <xdr:col>3</xdr:col>
          <xdr:colOff>114300</xdr:colOff>
          <xdr:row>21</xdr:row>
          <xdr:rowOff>19050</xdr:rowOff>
        </xdr:to>
        <xdr:sp macro="" textlink="">
          <xdr:nvSpPr>
            <xdr:cNvPr id="1096" name="Lighting_ctrl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27</xdr:row>
          <xdr:rowOff>0</xdr:rowOff>
        </xdr:from>
        <xdr:to>
          <xdr:col>3</xdr:col>
          <xdr:colOff>114300</xdr:colOff>
          <xdr:row>28</xdr:row>
          <xdr:rowOff>19050</xdr:rowOff>
        </xdr:to>
        <xdr:sp macro="" textlink="">
          <xdr:nvSpPr>
            <xdr:cNvPr id="1101" name="Motors_ctrl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0</xdr:rowOff>
        </xdr:from>
        <xdr:to>
          <xdr:col>3</xdr:col>
          <xdr:colOff>114300</xdr:colOff>
          <xdr:row>40</xdr:row>
          <xdr:rowOff>19050</xdr:rowOff>
        </xdr:to>
        <xdr:sp macro="" textlink="">
          <xdr:nvSpPr>
            <xdr:cNvPr id="1103" name="SpinButton3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0</xdr:rowOff>
        </xdr:from>
        <xdr:to>
          <xdr:col>3</xdr:col>
          <xdr:colOff>114300</xdr:colOff>
          <xdr:row>40</xdr:row>
          <xdr:rowOff>19050</xdr:rowOff>
        </xdr:to>
        <xdr:sp macro="" textlink="">
          <xdr:nvSpPr>
            <xdr:cNvPr id="1104" name="Others_ctrl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7</xdr:row>
          <xdr:rowOff>123825</xdr:rowOff>
        </xdr:from>
        <xdr:to>
          <xdr:col>7</xdr:col>
          <xdr:colOff>752475</xdr:colOff>
          <xdr:row>9</xdr:row>
          <xdr:rowOff>66675</xdr:rowOff>
        </xdr:to>
        <xdr:sp macro="" textlink="">
          <xdr:nvSpPr>
            <xdr:cNvPr id="1131" name="CommandButton1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0</xdr:rowOff>
    </xdr:from>
    <xdr:to>
      <xdr:col>1</xdr:col>
      <xdr:colOff>1208055</xdr:colOff>
      <xdr:row>6</xdr:row>
      <xdr:rowOff>180975</xdr:rowOff>
    </xdr:to>
    <xdr:pic>
      <xdr:nvPicPr>
        <xdr:cNvPr id="15" name="Imagen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31" t="62838"/>
        <a:stretch/>
      </xdr:blipFill>
      <xdr:spPr bwMode="auto">
        <a:xfrm>
          <a:off x="9526" y="0"/>
          <a:ext cx="1417604" cy="1323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78170</xdr:colOff>
      <xdr:row>0</xdr:row>
      <xdr:rowOff>154042</xdr:rowOff>
    </xdr:from>
    <xdr:to>
      <xdr:col>3</xdr:col>
      <xdr:colOff>268670</xdr:colOff>
      <xdr:row>6</xdr:row>
      <xdr:rowOff>16094</xdr:rowOff>
    </xdr:to>
    <xdr:pic>
      <xdr:nvPicPr>
        <xdr:cNvPr id="19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06" t="1032" r="4718" b="6046"/>
        <a:stretch/>
      </xdr:blipFill>
      <xdr:spPr bwMode="auto">
        <a:xfrm>
          <a:off x="1649795" y="154042"/>
          <a:ext cx="952500" cy="100505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119935</xdr:colOff>
      <xdr:row>0</xdr:row>
      <xdr:rowOff>136711</xdr:rowOff>
    </xdr:from>
    <xdr:to>
      <xdr:col>9</xdr:col>
      <xdr:colOff>383662</xdr:colOff>
      <xdr:row>6</xdr:row>
      <xdr:rowOff>95250</xdr:rowOff>
    </xdr:to>
    <xdr:sp macro="" textlink="">
      <xdr:nvSpPr>
        <xdr:cNvPr id="3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/>
        </xdr:cNvSpPr>
      </xdr:nvSpPr>
      <xdr:spPr bwMode="auto">
        <a:xfrm>
          <a:off x="5501560" y="136711"/>
          <a:ext cx="1787727" cy="11015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12700" cap="flat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FF8000"/>
              </a:solidFill>
              <a:latin typeface="Handwriting - Dakota"/>
              <a:ea typeface="Handwriting - Dakota"/>
              <a:cs typeface="Handwriting - Dakota"/>
            </a:rPr>
            <a:t>In-G9</a:t>
          </a:r>
          <a:r>
            <a:rPr lang="en-US" sz="1600" b="0" i="0" u="none" strike="noStrike" baseline="0">
              <a:solidFill>
                <a:srgbClr val="000000"/>
              </a:solidFill>
              <a:latin typeface="Helvetica Neue"/>
              <a:ea typeface="Helvetica Neue"/>
              <a:cs typeface="Helvetica Neue"/>
            </a:rPr>
            <a:t> </a:t>
          </a:r>
          <a:r>
            <a:rPr lang="en-US" sz="1100" b="1" i="0" u="none" strike="noStrike" baseline="0">
              <a:solidFill>
                <a:srgbClr val="408000"/>
              </a:solidFill>
              <a:latin typeface="Helvetica"/>
              <a:ea typeface="Helvetica"/>
              <a:cs typeface="Helvetica"/>
            </a:rPr>
            <a:t>Energía Inteligente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Medium"/>
              <a:ea typeface="Helvetica Neue Medium"/>
              <a:cs typeface="Helvetica Neue Medium"/>
            </a:rPr>
            <a:t>Grupo G9 SA de CV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Light"/>
              <a:ea typeface="Helvetica Neue Light"/>
              <a:cs typeface="Helvetica Neue Light"/>
            </a:rPr>
            <a:t>Colina de los Acónitos No. 43 -305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Light"/>
              <a:ea typeface="Helvetica Neue Light"/>
              <a:cs typeface="Helvetica Neue Light"/>
            </a:rPr>
            <a:t>Boulevares, Naucalpan.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Helvetica Neue Light"/>
              <a:ea typeface="Helvetica Neue Light"/>
              <a:cs typeface="Helvetica Neue Light"/>
            </a:rPr>
            <a:t>E.M. C.P. 53140. </a:t>
          </a:r>
        </a:p>
        <a:p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Helvetica Neue"/>
              <a:ea typeface="Helvetica Neue"/>
              <a:cs typeface="Helvetica Neue"/>
            </a:rPr>
            <a:t>Tel. (55) 24-87-22-96</a:t>
          </a:r>
        </a:p>
        <a:p>
          <a:pPr algn="ctr" rtl="0">
            <a:defRPr sz="1000"/>
          </a:pPr>
          <a:r>
            <a:rPr lang="en-US" sz="900" b="1" i="0" u="sng" strike="noStrike" baseline="0">
              <a:solidFill>
                <a:srgbClr val="00B0F0"/>
              </a:solidFill>
              <a:latin typeface="Helvetica Neue"/>
              <a:ea typeface="Helvetica Neue"/>
              <a:cs typeface="Helvetica Neue"/>
            </a:rPr>
            <a:t>www.ingenueve.com</a:t>
          </a:r>
        </a:p>
      </xdr:txBody>
    </xdr:sp>
    <xdr:clientData/>
  </xdr:twoCellAnchor>
  <xdr:twoCellAnchor>
    <xdr:from>
      <xdr:col>9</xdr:col>
      <xdr:colOff>513500</xdr:colOff>
      <xdr:row>0</xdr:row>
      <xdr:rowOff>0</xdr:rowOff>
    </xdr:from>
    <xdr:to>
      <xdr:col>11</xdr:col>
      <xdr:colOff>754628</xdr:colOff>
      <xdr:row>6</xdr:row>
      <xdr:rowOff>180975</xdr:rowOff>
    </xdr:to>
    <xdr:pic>
      <xdr:nvPicPr>
        <xdr:cNvPr id="16" name="Imagen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31" t="32868" b="37761"/>
        <a:stretch/>
      </xdr:blipFill>
      <xdr:spPr bwMode="auto">
        <a:xfrm>
          <a:off x="7419125" y="0"/>
          <a:ext cx="1793703" cy="1323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533400</xdr:colOff>
      <xdr:row>1</xdr:row>
      <xdr:rowOff>161925</xdr:rowOff>
    </xdr:from>
    <xdr:to>
      <xdr:col>6</xdr:col>
      <xdr:colOff>676275</xdr:colOff>
      <xdr:row>5</xdr:row>
      <xdr:rowOff>57151</xdr:rowOff>
    </xdr:to>
    <xdr:sp macro="" textlink="">
      <xdr:nvSpPr>
        <xdr:cNvPr id="22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/>
        </xdr:cNvSpPr>
      </xdr:nvSpPr>
      <xdr:spPr bwMode="auto">
        <a:xfrm>
          <a:off x="2867025" y="352425"/>
          <a:ext cx="2428875" cy="6572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12700" cap="flat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ctr" rtl="0">
            <a:lnSpc>
              <a:spcPct val="150000"/>
            </a:lnSpc>
            <a:defRPr sz="1000"/>
          </a:pPr>
          <a:r>
            <a:rPr lang="en-US" sz="1400" b="1" i="0" u="none" strike="noStrike" baseline="0">
              <a:solidFill>
                <a:schemeClr val="bg1"/>
              </a:solidFill>
              <a:latin typeface="Helvetica Neue"/>
              <a:ea typeface="Helvetica Neue"/>
              <a:cs typeface="Helvetica Neue"/>
            </a:rPr>
            <a:t>CAMBIA EL PRESENTE,</a:t>
          </a:r>
        </a:p>
        <a:p>
          <a:pPr algn="ctr" rtl="0">
            <a:lnSpc>
              <a:spcPct val="150000"/>
            </a:lnSpc>
            <a:defRPr sz="1000"/>
          </a:pPr>
          <a:r>
            <a:rPr lang="en-US" sz="1400" b="1" i="0" u="none" strike="noStrike" baseline="0">
              <a:solidFill>
                <a:schemeClr val="bg1"/>
              </a:solidFill>
              <a:latin typeface="Helvetica Neue"/>
              <a:ea typeface="Helvetica Neue"/>
              <a:cs typeface="Helvetica Neue"/>
            </a:rPr>
            <a:t>MEJORA EL FUTURO.</a:t>
          </a:r>
        </a:p>
      </xdr:txBody>
    </xdr:sp>
    <xdr:clientData/>
  </xdr:twoCellAnchor>
  <xdr:twoCellAnchor editAs="oneCell">
    <xdr:from>
      <xdr:col>1</xdr:col>
      <xdr:colOff>133350</xdr:colOff>
      <xdr:row>13</xdr:row>
      <xdr:rowOff>19050</xdr:rowOff>
    </xdr:from>
    <xdr:to>
      <xdr:col>7</xdr:col>
      <xdr:colOff>609600</xdr:colOff>
      <xdr:row>18</xdr:row>
      <xdr:rowOff>66675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4" t="3361" r="2266" b="8403"/>
        <a:stretch/>
      </xdr:blipFill>
      <xdr:spPr bwMode="auto">
        <a:xfrm>
          <a:off x="352425" y="2495550"/>
          <a:ext cx="56388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7</xdr:row>
          <xdr:rowOff>142875</xdr:rowOff>
        </xdr:from>
        <xdr:to>
          <xdr:col>11</xdr:col>
          <xdr:colOff>333375</xdr:colOff>
          <xdr:row>9</xdr:row>
          <xdr:rowOff>85725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657225</xdr:colOff>
      <xdr:row>10</xdr:row>
      <xdr:rowOff>16052</xdr:rowOff>
    </xdr:from>
    <xdr:to>
      <xdr:col>11</xdr:col>
      <xdr:colOff>523876</xdr:colOff>
      <xdr:row>20</xdr:row>
      <xdr:rowOff>31574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0" y="1921052"/>
          <a:ext cx="2181226" cy="1920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45"/>
  <sheetViews>
    <sheetView tabSelected="1" zoomScaleNormal="100" workbookViewId="0">
      <selection activeCell="J17" sqref="J17"/>
    </sheetView>
  </sheetViews>
  <sheetFormatPr baseColWidth="10" defaultRowHeight="15" x14ac:dyDescent="0.25"/>
  <cols>
    <col min="1" max="1" width="3.28515625" style="15" customWidth="1"/>
    <col min="2" max="3" width="11.42578125" style="15"/>
    <col min="4" max="4" width="11.85546875" style="15" bestFit="1" customWidth="1"/>
    <col min="5" max="6" width="11.42578125" style="15"/>
    <col min="7" max="7" width="11.85546875" style="15" bestFit="1" customWidth="1"/>
    <col min="8" max="9" width="11.42578125" style="15"/>
    <col min="10" max="10" width="11.85546875" style="15" bestFit="1" customWidth="1"/>
    <col min="11" max="16384" width="11.42578125" style="15"/>
  </cols>
  <sheetData>
    <row r="1" spans="1:12" s="2" customFormat="1" x14ac:dyDescent="0.25">
      <c r="A1" s="1" cm="1">
        <f t="array" aca="1" ref="A1" ca="1">CELL("fila",C13)</f>
        <v>13</v>
      </c>
      <c r="C1" s="3"/>
    </row>
    <row r="2" spans="1:12" s="2" customFormat="1" x14ac:dyDescent="0.25">
      <c r="A2" s="46" cm="1">
        <f t="array" aca="1" ref="A2" ca="1">CELL("fila",C21)</f>
        <v>21</v>
      </c>
      <c r="D2" s="4" t="s">
        <v>118</v>
      </c>
      <c r="E2" s="122"/>
      <c r="F2" s="122"/>
      <c r="G2" s="122"/>
      <c r="H2" s="122"/>
    </row>
    <row r="3" spans="1:12" s="2" customFormat="1" x14ac:dyDescent="0.25">
      <c r="A3" s="1" cm="1">
        <f t="array" aca="1" ref="A3" ca="1">CELL("fila",C28)</f>
        <v>28</v>
      </c>
      <c r="D3" s="4" t="s">
        <v>117</v>
      </c>
      <c r="E3" s="122"/>
      <c r="F3" s="122"/>
      <c r="G3" s="122"/>
      <c r="H3" s="122"/>
    </row>
    <row r="4" spans="1:12" s="2" customFormat="1" x14ac:dyDescent="0.25">
      <c r="A4" s="1" cm="1">
        <f t="array" aca="1" ref="A4" ca="1">CELL("fila",C40)</f>
        <v>40</v>
      </c>
      <c r="D4" s="5" t="s">
        <v>116</v>
      </c>
      <c r="E4" s="122"/>
      <c r="F4" s="122"/>
      <c r="G4" s="122"/>
      <c r="H4" s="122"/>
    </row>
    <row r="5" spans="1:12" s="2" customFormat="1" x14ac:dyDescent="0.25">
      <c r="A5" s="1">
        <f>MATCH(B35,B:B,0)</f>
        <v>35</v>
      </c>
      <c r="D5" s="4" t="s">
        <v>115</v>
      </c>
      <c r="E5" s="122"/>
      <c r="F5" s="122"/>
      <c r="G5" s="122"/>
      <c r="H5" s="122"/>
    </row>
    <row r="6" spans="1:12" s="2" customFormat="1" x14ac:dyDescent="0.25">
      <c r="A6" s="6">
        <f ca="1">COUNTBLANK(E2:E7)+COUNTBLANK(E9)+COUNTBLANK(INDIRECT("C"&amp;A1))+COUNTBLANK(INDIRECT("C"&amp;A2))+COUNTBLANK(INDIRECT("C"&amp;A3))+COUNTBLANK(INDIRECT("C"&amp;A4))</f>
        <v>7</v>
      </c>
      <c r="D6" s="4" t="s">
        <v>114</v>
      </c>
      <c r="E6" s="122"/>
      <c r="F6" s="122"/>
      <c r="G6" s="122"/>
      <c r="H6" s="122"/>
    </row>
    <row r="7" spans="1:12" s="2" customFormat="1" x14ac:dyDescent="0.25">
      <c r="A7" s="1"/>
      <c r="D7" s="4" t="s">
        <v>113</v>
      </c>
      <c r="E7" s="122"/>
      <c r="F7" s="122"/>
      <c r="G7" s="122"/>
      <c r="H7" s="122"/>
    </row>
    <row r="8" spans="1:12" s="2" customFormat="1" x14ac:dyDescent="0.25">
      <c r="A8" s="12"/>
      <c r="B8" s="7"/>
      <c r="C8" s="8"/>
      <c r="D8" s="8"/>
      <c r="E8" s="8"/>
    </row>
    <row r="9" spans="1:12" s="2" customFormat="1" x14ac:dyDescent="0.25">
      <c r="A9" s="12"/>
      <c r="D9" s="9" t="s">
        <v>119</v>
      </c>
      <c r="E9" s="14"/>
    </row>
    <row r="10" spans="1:12" s="2" customFormat="1" x14ac:dyDescent="0.25">
      <c r="B10" s="8"/>
    </row>
    <row r="11" spans="1:12" x14ac:dyDescent="0.25">
      <c r="B11" s="18" t="s">
        <v>74</v>
      </c>
    </row>
    <row r="12" spans="1:12" x14ac:dyDescent="0.25">
      <c r="C12" s="19"/>
      <c r="D12" s="19"/>
      <c r="K12" s="20"/>
    </row>
    <row r="13" spans="1:12" x14ac:dyDescent="0.25">
      <c r="B13" s="15" t="s">
        <v>112</v>
      </c>
      <c r="C13" s="47">
        <v>1</v>
      </c>
      <c r="D13" s="16"/>
      <c r="E13" s="17">
        <f>MATCH(B19,B:B,0)-MATCH(B11,B:B,0)-7</f>
        <v>1</v>
      </c>
      <c r="F13" s="17">
        <f>ROW()+MATCH(B19,B:B,0)-MATCH(B11,B:B,0)-4</f>
        <v>17</v>
      </c>
      <c r="G13" s="16"/>
      <c r="H13" s="22"/>
      <c r="L13" s="22"/>
    </row>
    <row r="14" spans="1:12" x14ac:dyDescent="0.25">
      <c r="C14" s="19"/>
      <c r="D14" s="19"/>
    </row>
    <row r="15" spans="1:12" x14ac:dyDescent="0.25">
      <c r="B15" s="121" t="s">
        <v>7</v>
      </c>
      <c r="C15" s="121" t="s">
        <v>2</v>
      </c>
      <c r="D15" s="121"/>
      <c r="E15" s="121"/>
      <c r="F15" s="121" t="s">
        <v>5</v>
      </c>
      <c r="G15" s="121"/>
      <c r="H15" s="121"/>
      <c r="I15" s="124" t="s">
        <v>6</v>
      </c>
      <c r="J15" s="123" t="s">
        <v>15</v>
      </c>
    </row>
    <row r="16" spans="1:12" x14ac:dyDescent="0.25">
      <c r="B16" s="121"/>
      <c r="C16" s="23" t="s">
        <v>3</v>
      </c>
      <c r="D16" s="23" t="s">
        <v>4</v>
      </c>
      <c r="E16" s="23" t="s">
        <v>1</v>
      </c>
      <c r="F16" s="23" t="s">
        <v>3</v>
      </c>
      <c r="G16" s="23" t="s">
        <v>4</v>
      </c>
      <c r="H16" s="23" t="s">
        <v>0</v>
      </c>
      <c r="I16" s="124"/>
      <c r="J16" s="123"/>
    </row>
    <row r="17" spans="1:14" x14ac:dyDescent="0.25">
      <c r="B17" s="21"/>
      <c r="C17" s="21"/>
      <c r="D17" s="21"/>
      <c r="E17" s="24">
        <f>IFERROR(IF(ISBLANK(D17),0,IF(D17="BTUh",C17,C17*12000)),0)</f>
        <v>0</v>
      </c>
      <c r="F17" s="21"/>
      <c r="G17" s="21"/>
      <c r="H17" s="24">
        <f>IF(OR(B17=0,ISBLANK(F17),ISBLANK(G17)),0,IF(G17="EER",F17,(-0.02*F17^2)+(1.12*F17)))</f>
        <v>0</v>
      </c>
      <c r="I17" s="24">
        <f>IFERROR(B17*((E17/H17)/1000),0)</f>
        <v>0</v>
      </c>
      <c r="J17" s="21"/>
    </row>
    <row r="19" spans="1:14" x14ac:dyDescent="0.25">
      <c r="B19" s="18" t="s">
        <v>32</v>
      </c>
    </row>
    <row r="21" spans="1:14" x14ac:dyDescent="0.25">
      <c r="B21" s="15" t="s">
        <v>112</v>
      </c>
      <c r="C21" s="47">
        <v>1</v>
      </c>
      <c r="D21" s="25"/>
      <c r="E21" s="17">
        <f>MATCH(B26,B:B,0)-MATCH(B19,B:B,0)-6</f>
        <v>1</v>
      </c>
      <c r="F21" s="17">
        <f>ROW()+MATCH(B26,B:B,0)-MATCH(B19,B:B,0)-4</f>
        <v>24</v>
      </c>
    </row>
    <row r="23" spans="1:14" s="26" customFormat="1" ht="30" customHeight="1" x14ac:dyDescent="0.25">
      <c r="B23" s="27" t="s">
        <v>7</v>
      </c>
      <c r="C23" s="27" t="s">
        <v>8</v>
      </c>
      <c r="D23" s="27" t="s">
        <v>9</v>
      </c>
      <c r="E23" s="27" t="s">
        <v>17</v>
      </c>
      <c r="F23" s="27" t="s">
        <v>14</v>
      </c>
      <c r="G23" s="27" t="s">
        <v>15</v>
      </c>
      <c r="H23" s="27" t="s">
        <v>16</v>
      </c>
    </row>
    <row r="24" spans="1:14" x14ac:dyDescent="0.25">
      <c r="B24" s="21"/>
      <c r="C24" s="21"/>
      <c r="D24" s="21"/>
      <c r="E24" s="24">
        <f>IF(OR(ISBLANK(B24),B24=0,ISBLANK(D24),D24=0),0,B24*D24)</f>
        <v>0</v>
      </c>
      <c r="F24" s="21"/>
      <c r="G24" s="28"/>
      <c r="H24" s="21"/>
    </row>
    <row r="26" spans="1:14" x14ac:dyDescent="0.25">
      <c r="B26" s="18" t="s">
        <v>75</v>
      </c>
    </row>
    <row r="28" spans="1:14" x14ac:dyDescent="0.25">
      <c r="B28" s="15" t="s">
        <v>112</v>
      </c>
      <c r="C28" s="47">
        <v>1</v>
      </c>
      <c r="D28" s="25"/>
      <c r="E28" s="17">
        <f>MATCH(B33,B:B,0)-MATCH(B26,B:B,0)-6</f>
        <v>1</v>
      </c>
      <c r="F28" s="17">
        <f>ROW()+MATCH(B33,B:B,0)-MATCH(B26,B:B,0)-4</f>
        <v>31</v>
      </c>
    </row>
    <row r="30" spans="1:14" s="26" customFormat="1" ht="30" customHeight="1" x14ac:dyDescent="0.25">
      <c r="B30" s="27" t="s">
        <v>7</v>
      </c>
      <c r="C30" s="29" t="s">
        <v>79</v>
      </c>
      <c r="D30" s="27" t="s">
        <v>19</v>
      </c>
      <c r="E30" s="27" t="s">
        <v>73</v>
      </c>
      <c r="F30" s="27" t="s">
        <v>18</v>
      </c>
      <c r="G30" s="27" t="s">
        <v>20</v>
      </c>
      <c r="H30" s="27" t="s">
        <v>21</v>
      </c>
      <c r="I30" s="27" t="s">
        <v>22</v>
      </c>
      <c r="J30" s="27" t="s">
        <v>81</v>
      </c>
      <c r="K30" s="30" t="s">
        <v>80</v>
      </c>
      <c r="L30" s="120" t="s">
        <v>82</v>
      </c>
      <c r="M30" s="120"/>
      <c r="N30" s="120"/>
    </row>
    <row r="31" spans="1:14" x14ac:dyDescent="0.25">
      <c r="B31" s="21"/>
      <c r="C31" s="21"/>
      <c r="D31" s="21"/>
      <c r="E31" s="21"/>
      <c r="F31" s="21"/>
      <c r="G31" s="31"/>
      <c r="H31" s="21"/>
      <c r="I31" s="21"/>
      <c r="J31" s="21"/>
      <c r="K31" s="21"/>
      <c r="L31" s="119"/>
      <c r="M31" s="119"/>
      <c r="N31" s="119"/>
    </row>
    <row r="33" spans="1:14" x14ac:dyDescent="0.25">
      <c r="B33" s="18" t="s">
        <v>76</v>
      </c>
    </row>
    <row r="35" spans="1:14" x14ac:dyDescent="0.25">
      <c r="B35" s="15" t="s">
        <v>72</v>
      </c>
      <c r="D35" s="21"/>
    </row>
    <row r="36" spans="1:14" x14ac:dyDescent="0.25">
      <c r="B36" s="32" t="s">
        <v>28</v>
      </c>
      <c r="D36" s="21"/>
    </row>
    <row r="38" spans="1:14" x14ac:dyDescent="0.25">
      <c r="B38" s="18" t="s">
        <v>86</v>
      </c>
    </row>
    <row r="39" spans="1:14" x14ac:dyDescent="0.25">
      <c r="B39" s="18"/>
    </row>
    <row r="40" spans="1:14" x14ac:dyDescent="0.25">
      <c r="B40" s="15" t="s">
        <v>112</v>
      </c>
      <c r="C40" s="47">
        <v>1</v>
      </c>
      <c r="D40" s="25"/>
      <c r="E40" s="17">
        <f>MATCH(B45,B:B,0)-MATCH(B38,B:B,0)-6</f>
        <v>1</v>
      </c>
      <c r="F40" s="17">
        <f>ROW()+MATCH(B45,B:B,0)-MATCH(B38,B:B,0)-4</f>
        <v>43</v>
      </c>
    </row>
    <row r="42" spans="1:14" ht="30" customHeight="1" x14ac:dyDescent="0.25">
      <c r="B42" s="27" t="s">
        <v>7</v>
      </c>
      <c r="C42" s="111" t="s">
        <v>84</v>
      </c>
      <c r="D42" s="112"/>
      <c r="E42" s="113"/>
      <c r="F42" s="29" t="s">
        <v>79</v>
      </c>
      <c r="G42" s="27" t="s">
        <v>19</v>
      </c>
      <c r="H42" s="33" t="s">
        <v>83</v>
      </c>
      <c r="I42" s="111" t="s">
        <v>85</v>
      </c>
      <c r="J42" s="113"/>
      <c r="K42" s="27" t="s">
        <v>81</v>
      </c>
      <c r="L42" s="111" t="s">
        <v>84</v>
      </c>
      <c r="M42" s="112"/>
      <c r="N42" s="113"/>
    </row>
    <row r="43" spans="1:14" x14ac:dyDescent="0.25">
      <c r="B43" s="21"/>
      <c r="C43" s="114"/>
      <c r="D43" s="115"/>
      <c r="E43" s="116"/>
      <c r="F43" s="21"/>
      <c r="G43" s="21"/>
      <c r="H43" s="21"/>
      <c r="I43" s="117"/>
      <c r="J43" s="118"/>
      <c r="K43" s="21"/>
      <c r="L43" s="114"/>
      <c r="M43" s="115"/>
      <c r="N43" s="116"/>
    </row>
    <row r="45" spans="1:14" x14ac:dyDescent="0.25">
      <c r="B45" s="34" t="s">
        <v>71</v>
      </c>
    </row>
  </sheetData>
  <sheetProtection algorithmName="SHA-512" hashValue="vLszPxj9Mt/KeInsTlAxyxBXMlX3+3wgiOVC08fRvmVrxSLBJ5UXZQn9Kf/kux2XWBTgBQ+32eNAt7aXyKmXOA==" saltValue="EEIuTCljdEV8ggOksyg5lQ==" spinCount="100000" sheet="1" objects="1" scenarios="1" selectLockedCells="1"/>
  <mergeCells count="19">
    <mergeCell ref="E3:H3"/>
    <mergeCell ref="E2:H2"/>
    <mergeCell ref="J15:J16"/>
    <mergeCell ref="E6:H6"/>
    <mergeCell ref="E7:H7"/>
    <mergeCell ref="C15:E15"/>
    <mergeCell ref="F15:H15"/>
    <mergeCell ref="I15:I16"/>
    <mergeCell ref="L31:N31"/>
    <mergeCell ref="L30:N30"/>
    <mergeCell ref="B15:B16"/>
    <mergeCell ref="E4:H4"/>
    <mergeCell ref="E5:H5"/>
    <mergeCell ref="C42:E42"/>
    <mergeCell ref="C43:E43"/>
    <mergeCell ref="I42:J42"/>
    <mergeCell ref="I43:J43"/>
    <mergeCell ref="L42:N42"/>
    <mergeCell ref="L43:N43"/>
  </mergeCells>
  <phoneticPr fontId="7" type="noConversion"/>
  <conditionalFormatting sqref="I17">
    <cfRule type="expression" dxfId="4" priority="281">
      <formula>I17=0</formula>
    </cfRule>
  </conditionalFormatting>
  <conditionalFormatting sqref="E24">
    <cfRule type="expression" dxfId="3" priority="280">
      <formula>E24=0</formula>
    </cfRule>
  </conditionalFormatting>
  <conditionalFormatting sqref="G31">
    <cfRule type="expression" dxfId="2" priority="154">
      <formula>OR(G31&gt;1,G31&lt;0)</formula>
    </cfRule>
  </conditionalFormatting>
  <conditionalFormatting sqref="E17">
    <cfRule type="expression" dxfId="1" priority="30">
      <formula>E17=0</formula>
    </cfRule>
  </conditionalFormatting>
  <conditionalFormatting sqref="H17">
    <cfRule type="expression" dxfId="0" priority="23">
      <formula>H17=0</formula>
    </cfRule>
  </conditionalFormatting>
  <dataValidations count="9">
    <dataValidation type="list" allowBlank="1" showInputMessage="1" showErrorMessage="1" sqref="C24" xr:uid="{00000000-0002-0000-0000-000000000000}">
      <formula1>"LED,CFL,Halógena,Fluorescente,Incandescente"</formula1>
    </dataValidation>
    <dataValidation type="list" allowBlank="1" showInputMessage="1" showErrorMessage="1" sqref="G24 J17:J18" xr:uid="{00000000-0002-0000-0000-000001000000}">
      <formula1>"Sí,No"</formula1>
    </dataValidation>
    <dataValidation type="list" allowBlank="1" showInputMessage="1" showErrorMessage="1" sqref="F24" xr:uid="{00000000-0002-0000-0000-000002000000}">
      <formula1>"Interior,Exterior"</formula1>
    </dataValidation>
    <dataValidation type="list" allowBlank="1" showInputMessage="1" showErrorMessage="1" sqref="H24" xr:uid="{00000000-0002-0000-0000-000003000000}">
      <formula1>"Presencia,Movimiento,Regulación,Ninguno"</formula1>
    </dataValidation>
    <dataValidation type="list" allowBlank="1" showInputMessage="1" showErrorMessage="1" sqref="E9" xr:uid="{00000000-0002-0000-0000-000004000000}">
      <formula1>"DB1,DB2,APBT,APMT,RABT,RAMT,PDBT,GDBT,GDMTO,GDMTH,DIST,DIT"</formula1>
    </dataValidation>
    <dataValidation type="list" allowBlank="1" showInputMessage="1" showErrorMessage="1" sqref="C31 F43" xr:uid="{00000000-0002-0000-0000-000005000000}">
      <formula1>"Monofásica,Bifásica,Trifásica"</formula1>
    </dataValidation>
    <dataValidation type="list" allowBlank="1" showInputMessage="1" showErrorMessage="1" sqref="D36" xr:uid="{00000000-0002-0000-0000-000006000000}">
      <formula1>"Sí,No,No sé"</formula1>
    </dataValidation>
    <dataValidation type="list" allowBlank="1" showInputMessage="1" showErrorMessage="1" sqref="D17" xr:uid="{00000000-0002-0000-0000-000007000000}">
      <formula1>"BTUh,TR"</formula1>
    </dataValidation>
    <dataValidation type="list" allowBlank="1" showInputMessage="1" showErrorMessage="1" sqref="G17" xr:uid="{00000000-0002-0000-0000-000008000000}">
      <formula1>"SEER,EER"</formula1>
    </dataValidation>
  </dataValidations>
  <pageMargins left="0.7" right="0.7" top="0.75" bottom="0.75" header="0.3" footer="0.3"/>
  <pageSetup orientation="portrait" r:id="rId1"/>
  <ignoredErrors>
    <ignoredError sqref="A1:XFD1 A25:XFD30 A24 E24 A19:XFD20 A13:B13 D13:XFD13 A14:XFD16 A17 E17 H17:I17 A8:XFD8 A2:D2 I2:XFD2 A3:D3 I3:XFD3 A4:D4 I4:XFD4 A5:D5 I5:XFD5 A6:D6 I6:XFD6 A7:D7 I7:XFD7 A10:XFD12 A9:D9 F9:XFD9 A18 M18:XFD18 A22:XFD23 A21:B21 D21:XFD21 I24:XFD24 A32:XFD34 A31 O31:XFD31 A37:XFD42 A35:C35 E35:XFD35 A36:C36 E36:XFD36 A44:XFD1048576 A43 I43:J43 O43:XFD43 K17:XFD17" unlockedFormula="1"/>
  </ignoredErrors>
  <drawing r:id="rId2"/>
  <legacyDrawing r:id="rId3"/>
  <controls>
    <mc:AlternateContent xmlns:mc="http://schemas.openxmlformats.org/markup-compatibility/2006">
      <mc:Choice Requires="x14">
        <control shapeId="1131" r:id="rId4" name="CommandButton1">
          <controlPr defaultSize="0" autoLine="0" r:id="rId5">
            <anchor moveWithCells="1">
              <from>
                <xdr:col>5</xdr:col>
                <xdr:colOff>609600</xdr:colOff>
                <xdr:row>7</xdr:row>
                <xdr:rowOff>123825</xdr:rowOff>
              </from>
              <to>
                <xdr:col>7</xdr:col>
                <xdr:colOff>752475</xdr:colOff>
                <xdr:row>9</xdr:row>
                <xdr:rowOff>66675</xdr:rowOff>
              </to>
            </anchor>
          </controlPr>
        </control>
      </mc:Choice>
      <mc:Fallback>
        <control shapeId="1131" r:id="rId4" name="CommandButton1"/>
      </mc:Fallback>
    </mc:AlternateContent>
    <mc:AlternateContent xmlns:mc="http://schemas.openxmlformats.org/markup-compatibility/2006">
      <mc:Choice Requires="x14">
        <control shapeId="1104" r:id="rId6" name="Others_ctrl">
          <controlPr defaultSize="0" autoLine="0" linkedCell="C40" r:id="rId7">
            <anchor moveWithCells="1">
              <from>
                <xdr:col>3</xdr:col>
                <xdr:colOff>9525</xdr:colOff>
                <xdr:row>39</xdr:row>
                <xdr:rowOff>0</xdr:rowOff>
              </from>
              <to>
                <xdr:col>3</xdr:col>
                <xdr:colOff>114300</xdr:colOff>
                <xdr:row>40</xdr:row>
                <xdr:rowOff>19050</xdr:rowOff>
              </to>
            </anchor>
          </controlPr>
        </control>
      </mc:Choice>
      <mc:Fallback>
        <control shapeId="1104" r:id="rId6" name="Others_ctrl"/>
      </mc:Fallback>
    </mc:AlternateContent>
    <mc:AlternateContent xmlns:mc="http://schemas.openxmlformats.org/markup-compatibility/2006">
      <mc:Choice Requires="x14">
        <control shapeId="1103" r:id="rId8" name="SpinButton3">
          <controlPr defaultSize="0" autoLine="0" linkedCell="C28" r:id="rId7">
            <anchor moveWithCells="1">
              <from>
                <xdr:col>3</xdr:col>
                <xdr:colOff>9525</xdr:colOff>
                <xdr:row>39</xdr:row>
                <xdr:rowOff>0</xdr:rowOff>
              </from>
              <to>
                <xdr:col>3</xdr:col>
                <xdr:colOff>114300</xdr:colOff>
                <xdr:row>40</xdr:row>
                <xdr:rowOff>19050</xdr:rowOff>
              </to>
            </anchor>
          </controlPr>
        </control>
      </mc:Choice>
      <mc:Fallback>
        <control shapeId="1103" r:id="rId8" name="SpinButton3"/>
      </mc:Fallback>
    </mc:AlternateContent>
    <mc:AlternateContent xmlns:mc="http://schemas.openxmlformats.org/markup-compatibility/2006">
      <mc:Choice Requires="x14">
        <control shapeId="1101" r:id="rId9" name="Motors_ctrl">
          <controlPr defaultSize="0" autoLine="0" linkedCell="C28" r:id="rId7">
            <anchor moveWithCells="1">
              <from>
                <xdr:col>3</xdr:col>
                <xdr:colOff>9525</xdr:colOff>
                <xdr:row>27</xdr:row>
                <xdr:rowOff>0</xdr:rowOff>
              </from>
              <to>
                <xdr:col>3</xdr:col>
                <xdr:colOff>114300</xdr:colOff>
                <xdr:row>28</xdr:row>
                <xdr:rowOff>19050</xdr:rowOff>
              </to>
            </anchor>
          </controlPr>
        </control>
      </mc:Choice>
      <mc:Fallback>
        <control shapeId="1101" r:id="rId9" name="Motors_ctrl"/>
      </mc:Fallback>
    </mc:AlternateContent>
    <mc:AlternateContent xmlns:mc="http://schemas.openxmlformats.org/markup-compatibility/2006">
      <mc:Choice Requires="x14">
        <control shapeId="1096" r:id="rId10" name="Lighting_ctrl">
          <controlPr defaultSize="0" autoLine="0" linkedCell="C21" r:id="rId7">
            <anchor moveWithCells="1">
              <from>
                <xdr:col>3</xdr:col>
                <xdr:colOff>9525</xdr:colOff>
                <xdr:row>20</xdr:row>
                <xdr:rowOff>0</xdr:rowOff>
              </from>
              <to>
                <xdr:col>3</xdr:col>
                <xdr:colOff>114300</xdr:colOff>
                <xdr:row>21</xdr:row>
                <xdr:rowOff>19050</xdr:rowOff>
              </to>
            </anchor>
          </controlPr>
        </control>
      </mc:Choice>
      <mc:Fallback>
        <control shapeId="1096" r:id="rId10" name="Lighting_ctrl"/>
      </mc:Fallback>
    </mc:AlternateContent>
    <mc:AlternateContent xmlns:mc="http://schemas.openxmlformats.org/markup-compatibility/2006">
      <mc:Choice Requires="x14">
        <control shapeId="1094" r:id="rId11" name="HVAC_ctrl">
          <controlPr defaultSize="0" autoLine="0" linkedCell="C13" r:id="rId7">
            <anchor moveWithCells="1">
              <from>
                <xdr:col>3</xdr:col>
                <xdr:colOff>9525</xdr:colOff>
                <xdr:row>12</xdr:row>
                <xdr:rowOff>0</xdr:rowOff>
              </from>
              <to>
                <xdr:col>3</xdr:col>
                <xdr:colOff>114300</xdr:colOff>
                <xdr:row>13</xdr:row>
                <xdr:rowOff>19050</xdr:rowOff>
              </to>
            </anchor>
          </controlPr>
        </control>
      </mc:Choice>
      <mc:Fallback>
        <control shapeId="1094" r:id="rId11" name="HVAC_ctr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9000000}">
          <x14:formula1>
            <xm:f>CÁLCULOS!$A$1:$A$31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114"/>
  <sheetViews>
    <sheetView zoomScaleNormal="100" workbookViewId="0">
      <selection activeCell="E9" sqref="A1:XFD1048576"/>
    </sheetView>
  </sheetViews>
  <sheetFormatPr baseColWidth="10" defaultRowHeight="15" customHeight="1" x14ac:dyDescent="0.25"/>
  <cols>
    <col min="1" max="1" width="16.7109375" style="96" customWidth="1"/>
    <col min="2" max="2" width="3.28515625" style="97" customWidth="1"/>
    <col min="3" max="3" width="3.28515625" style="82" customWidth="1"/>
    <col min="4" max="4" width="3.28515625" style="58" customWidth="1"/>
    <col min="5" max="10" width="15.7109375" style="59" customWidth="1"/>
    <col min="11" max="16" width="11.42578125" style="59"/>
    <col min="17" max="18" width="11.85546875" style="59" bestFit="1" customWidth="1"/>
    <col min="19" max="16384" width="11.42578125" style="59"/>
  </cols>
  <sheetData>
    <row r="1" spans="1:16" s="59" customFormat="1" ht="15" customHeight="1" x14ac:dyDescent="0.25">
      <c r="A1" s="55" t="s">
        <v>23</v>
      </c>
      <c r="B1" s="56"/>
      <c r="C1" s="57"/>
      <c r="D1" s="58"/>
    </row>
    <row r="2" spans="1:16" s="59" customFormat="1" ht="15" customHeight="1" x14ac:dyDescent="0.25">
      <c r="A2" s="55" t="s">
        <v>56</v>
      </c>
      <c r="B2" s="56"/>
      <c r="C2" s="57"/>
      <c r="D2" s="58"/>
      <c r="E2" s="60" t="s">
        <v>29</v>
      </c>
      <c r="F2" s="61"/>
      <c r="G2" s="62"/>
      <c r="H2" s="62"/>
    </row>
    <row r="3" spans="1:16" s="59" customFormat="1" ht="15" customHeight="1" x14ac:dyDescent="0.25">
      <c r="A3" s="55" t="s">
        <v>57</v>
      </c>
      <c r="B3" s="56"/>
      <c r="C3" s="57"/>
      <c r="D3" s="58"/>
    </row>
    <row r="4" spans="1:16" s="59" customFormat="1" ht="15" customHeight="1" x14ac:dyDescent="0.25">
      <c r="A4" s="55" t="s">
        <v>41</v>
      </c>
      <c r="B4" s="56">
        <v>1</v>
      </c>
      <c r="C4" s="57"/>
      <c r="D4" s="58"/>
      <c r="E4" s="63" t="s">
        <v>30</v>
      </c>
      <c r="F4" s="63" t="s">
        <v>31</v>
      </c>
      <c r="G4" s="63" t="s">
        <v>39</v>
      </c>
      <c r="I4" s="64"/>
    </row>
    <row r="5" spans="1:16" s="59" customFormat="1" ht="15" customHeight="1" x14ac:dyDescent="0.25">
      <c r="A5" s="55" t="s">
        <v>58</v>
      </c>
      <c r="B5" s="56"/>
      <c r="C5" s="57"/>
      <c r="D5" s="58"/>
      <c r="E5" s="65" cm="1">
        <f t="array" aca="1" ref="E5" ca="1">COUNTIF(OFFSET(OFFSET(INDIRECT("ENTRADA!J"&amp;ENTRADA!A1+4),0,0,1,1),0,0,INDIRECT("ENTRADA!E"&amp;ENTRADA!A1),1),"=Sí")</f>
        <v>0</v>
      </c>
      <c r="F5" s="65" cm="1">
        <f t="array" aca="1" ref="F5" ca="1">SUM(ISNUMBER(OFFSET(OFFSET(INDIRECT("ENTRADA!B"&amp;ENTRADA!A1+4),0,0,1,1),0,0,INDIRECT("ENTRADA!E"&amp;ENTRADA!A1),1))*ISNUMBER(OFFSET(OFFSET(INDIRECT("ENTRADA!F"&amp;ENTRADA!A1+4),0,0,1,1),0,0,INDIRECT("ENTRADA!E"&amp;ENTRADA!A1),1))*(OFFSET(OFFSET(INDIRECT("ENTRADA!H"&amp;ENTRADA!A1+4),0,0,1,1),0,0,INDIRECT("ENTRADA!E"&amp;ENTRADA!A1),1)&lt;11.18))</f>
        <v>0</v>
      </c>
      <c r="G5" s="66" cm="1">
        <f t="array" aca="1" ref="G5" ca="1">IFERROR(SUM(OFFSET(OFFSET(INDIRECT("ENTRADA!B"&amp;ENTRADA!A1+4),0,0,1,1),0,0,INDIRECT("ENTRADA!E"&amp;ENTRADA!A1),1)*OFFSET(OFFSET(INDIRECT("ENTRADA!I"&amp;ENTRADA!A1+4),0,0,1,1),0,0,INDIRECT("ENTRADA!E"&amp;ENTRADA!A1),1)),0)</f>
        <v>0</v>
      </c>
      <c r="H5" s="58"/>
      <c r="P5" s="67"/>
    </row>
    <row r="6" spans="1:16" s="59" customFormat="1" ht="15" customHeight="1" thickBot="1" x14ac:dyDescent="0.3">
      <c r="A6" s="55" t="s">
        <v>59</v>
      </c>
      <c r="B6" s="56"/>
      <c r="C6" s="57"/>
      <c r="D6" s="58"/>
      <c r="G6" s="58"/>
      <c r="H6" s="58"/>
      <c r="P6" s="67"/>
    </row>
    <row r="7" spans="1:16" s="59" customFormat="1" ht="15" customHeight="1" x14ac:dyDescent="0.25">
      <c r="A7" s="55" t="s">
        <v>40</v>
      </c>
      <c r="B7" s="56">
        <v>1</v>
      </c>
      <c r="C7" s="57"/>
      <c r="D7" s="58"/>
      <c r="E7" s="68" t="str">
        <f ca="1">IF(E5&gt;0,"• Encender equipos HVAC de manera simultanea podría significar un aumento en el costo por demanda, debe controlar la filosofía de operación.","")</f>
        <v/>
      </c>
      <c r="F7" s="69"/>
      <c r="G7" s="70"/>
      <c r="H7" s="70"/>
      <c r="I7" s="69"/>
      <c r="J7" s="69"/>
      <c r="K7" s="69"/>
      <c r="L7" s="69"/>
      <c r="M7" s="69"/>
      <c r="N7" s="69"/>
      <c r="O7" s="71"/>
      <c r="P7" s="67"/>
    </row>
    <row r="8" spans="1:16" s="59" customFormat="1" ht="15" customHeight="1" x14ac:dyDescent="0.25">
      <c r="A8" s="55" t="s">
        <v>50</v>
      </c>
      <c r="B8" s="56">
        <v>1</v>
      </c>
      <c r="C8" s="57"/>
      <c r="D8" s="58"/>
      <c r="E8" s="72" t="str">
        <f ca="1">IF(F5&gt;0,"• Tener equipos HVAC instalados con un SEER menor a 13 implica mantener un sistema ineficiente, aumentando el costo por consumo.","")</f>
        <v/>
      </c>
      <c r="F8" s="73"/>
      <c r="G8" s="73"/>
      <c r="H8" s="73"/>
      <c r="I8" s="74"/>
      <c r="J8" s="74"/>
      <c r="K8" s="74"/>
      <c r="L8" s="74"/>
      <c r="M8" s="74"/>
      <c r="N8" s="74"/>
      <c r="O8" s="75"/>
      <c r="P8" s="67"/>
    </row>
    <row r="9" spans="1:16" s="59" customFormat="1" ht="15" customHeight="1" thickBot="1" x14ac:dyDescent="0.3">
      <c r="A9" s="55" t="s">
        <v>43</v>
      </c>
      <c r="B9" s="56">
        <v>1</v>
      </c>
      <c r="C9" s="57"/>
      <c r="D9" s="58"/>
      <c r="E9" s="76" t="str">
        <f ca="1">IFERROR(IF(AND(G5&gt;40,IFERROR(VLOOKUP(ENTRADA!E4,A1:B31,2,FALSE),0)=1),"• Si los sistemas HVAC instalados no son tecnología HMX, debería considerar su reemplazo, con esto podría reducir entre 53-95% su consumo actual. [1]",""),"")</f>
        <v/>
      </c>
      <c r="F9" s="77"/>
      <c r="G9" s="77"/>
      <c r="H9" s="77"/>
      <c r="I9" s="78"/>
      <c r="J9" s="78"/>
      <c r="K9" s="78"/>
      <c r="L9" s="78"/>
      <c r="M9" s="78"/>
      <c r="N9" s="78"/>
      <c r="O9" s="79"/>
    </row>
    <row r="10" spans="1:16" s="59" customFormat="1" ht="15" customHeight="1" x14ac:dyDescent="0.25">
      <c r="A10" s="80" t="s">
        <v>49</v>
      </c>
      <c r="B10" s="81">
        <v>1</v>
      </c>
      <c r="C10" s="82"/>
      <c r="D10" s="58"/>
      <c r="E10" s="83"/>
      <c r="F10" s="58"/>
      <c r="G10" s="58"/>
      <c r="H10" s="58"/>
    </row>
    <row r="11" spans="1:16" s="59" customFormat="1" ht="15" customHeight="1" x14ac:dyDescent="0.25">
      <c r="A11" s="55" t="s">
        <v>45</v>
      </c>
      <c r="B11" s="56">
        <v>1</v>
      </c>
      <c r="C11" s="57"/>
      <c r="D11" s="58"/>
      <c r="E11" s="84" t="s">
        <v>32</v>
      </c>
      <c r="F11" s="62"/>
      <c r="G11" s="62"/>
      <c r="H11" s="62"/>
    </row>
    <row r="12" spans="1:16" s="59" customFormat="1" ht="15" customHeight="1" x14ac:dyDescent="0.25">
      <c r="A12" s="55" t="s">
        <v>60</v>
      </c>
      <c r="B12" s="56"/>
      <c r="C12" s="57"/>
      <c r="D12" s="58"/>
      <c r="E12" s="84"/>
      <c r="F12" s="62"/>
      <c r="G12" s="62"/>
      <c r="H12" s="62"/>
    </row>
    <row r="13" spans="1:16" s="59" customFormat="1" ht="15" customHeight="1" x14ac:dyDescent="0.25">
      <c r="A13" s="55" t="s">
        <v>48</v>
      </c>
      <c r="B13" s="56">
        <v>1</v>
      </c>
      <c r="C13" s="57"/>
      <c r="D13" s="58"/>
      <c r="E13" s="125" t="s">
        <v>8</v>
      </c>
      <c r="F13" s="125"/>
      <c r="G13" s="63" t="s">
        <v>36</v>
      </c>
      <c r="H13" s="63" t="s">
        <v>17</v>
      </c>
      <c r="I13" s="63" t="s">
        <v>35</v>
      </c>
      <c r="K13" s="63" t="s">
        <v>38</v>
      </c>
      <c r="L13" s="63" t="s">
        <v>110</v>
      </c>
      <c r="M13" s="63" t="s">
        <v>70</v>
      </c>
    </row>
    <row r="14" spans="1:16" s="59" customFormat="1" ht="15" customHeight="1" x14ac:dyDescent="0.25">
      <c r="A14" s="55" t="s">
        <v>61</v>
      </c>
      <c r="B14" s="56"/>
      <c r="C14" s="57"/>
      <c r="D14" s="58"/>
      <c r="E14" s="127" t="s">
        <v>11</v>
      </c>
      <c r="F14" s="127"/>
      <c r="G14" s="85" cm="1">
        <f t="array" aca="1" ref="G14" ca="1">IFERROR(SUM((OFFSET(OFFSET(INDIRECT("ENTRADA!C"&amp;ENTRADA!A2+3),0,0,1,1),0,0,INDIRECT("ENTRADA!E"&amp;ENTRADA!A2),1)=E14)*OFFSET(OFFSET(INDIRECT("ENTRADA!B"&amp;ENTRADA!A2+3),0,0,1,1),0,0,INDIRECT("ENTRADA!E"&amp;ENTRADA!A2),1))/SUM(OFFSET(OFFSET(INDIRECT("ENTRADA!B"&amp;ENTRADA!A2+3),0,0,1,1),0,0,INDIRECT("ENTRADA!E"&amp;ENTRADA!A2),1)),0)</f>
        <v>0</v>
      </c>
      <c r="H14" s="86" cm="1">
        <f t="array" aca="1" ref="H14" ca="1">SUM((OFFSET(OFFSET(INDIRECT("ENTRADA!C"&amp;ENTRADA!A2+3),0,0,1,1),0,0,INDIRECT("ENTRADA!E"&amp;ENTRADA!A2),1)=E14)*OFFSET(OFFSET(INDIRECT("ENTRADA!B"&amp;ENTRADA!A2+3),0,0,1,1),0,0,INDIRECT("ENTRADA!E"&amp;ENTRADA!A2),1)*OFFSET(OFFSET(INDIRECT("ENTRADA!D"&amp;ENTRADA!A2+3),0,0,1,1),0,0,INDIRECT("ENTRADA!E"&amp;ENTRADA!A2),1))</f>
        <v>0</v>
      </c>
      <c r="I14" s="86">
        <f ca="1">0.25*H14</f>
        <v>0</v>
      </c>
      <c r="K14" s="110" cm="1">
        <f t="array" aca="1" ref="K14" ca="1">SUM((OFFSET(OFFSET(INDIRECT("ENTRADA!G"&amp;ENTRADA!A2+3),0,0,1,1),0,0,INDIRECT("ENTRADA!E"&amp;ENTRADA!A2),1)="Sí")*OFFSET(OFFSET(INDIRECT("ENTRADA!B"&amp;ENTRADA!A2+3),0,0,1,1),0,0,INDIRECT("ENTRADA!E"&amp;ENTRADA!A2),1))</f>
        <v>0</v>
      </c>
      <c r="L14" s="110" cm="1">
        <f t="array" aca="1" ref="L14" ca="1">SUM((OFFSET(OFFSET(INDIRECT("ENTRADA!H"&amp;ENTRADA!A2+3),0,0,1,1),0,0,INDIRECT("ENTRADA!E"&amp;ENTRADA!A2),1)="Ninguno")*OFFSET(OFFSET(INDIRECT("ENTRADA!B"&amp;ENTRADA!A2+3),0,0,1,1),0,0,INDIRECT("ENTRADA!E"&amp;ENTRADA!A2),1)*OFFSET(OFFSET(INDIRECT("ENTRADA!D"&amp;ENTRADA!A2+3),0,0,1,1),0,0,INDIRECT("ENTRADA!E"&amp;ENTRADA!A2),1))</f>
        <v>0</v>
      </c>
      <c r="M14" s="87" cm="1">
        <f t="array" aca="1" ref="M14" ca="1">SUM((OFFSET(OFFSET(INDIRECT("ENTRADA!H"&amp;ENTRADA!A2+3),0,0,1,1),0,0,INDIRECT("ENTRADA!E"&amp;ENTRADA!A2),1)="Ninguno")*OFFSET(OFFSET(INDIRECT("ENTRADA!B"&amp;ENTRADA!A2+3),0,0,1,1),0,0,INDIRECT("ENTRADA!E"&amp;ENTRADA!A2),1))</f>
        <v>0</v>
      </c>
      <c r="O14" s="88"/>
    </row>
    <row r="15" spans="1:16" s="59" customFormat="1" ht="15" customHeight="1" x14ac:dyDescent="0.25">
      <c r="A15" s="55" t="s">
        <v>55</v>
      </c>
      <c r="B15" s="56"/>
      <c r="C15" s="57"/>
      <c r="D15" s="58"/>
      <c r="E15" s="127" t="s">
        <v>33</v>
      </c>
      <c r="F15" s="127"/>
      <c r="G15" s="85" cm="1">
        <f t="array" aca="1" ref="G15" ca="1">IFERROR(SUM((OFFSET(OFFSET(INDIRECT("ENTRADA!C"&amp;ENTRADA!A2+3),0,0,1,1),0,0,INDIRECT("ENTRADA!E"&amp;ENTRADA!A2),1)="CFL")*OFFSET(OFFSET(INDIRECT("ENTRADA!B"&amp;ENTRADA!A2+3),0,0,1,1),0,0,INDIRECT("ENTRADA!E"&amp;ENTRADA!A2),1),(OFFSET(OFFSET(INDIRECT("ENTRADA!C"&amp;ENTRADA!A2+3),0,0,1,1),0,0,INDIRECT("ENTRADA!E"&amp;ENTRADA!A2),1)="Fluorescente")*OFFSET(OFFSET(INDIRECT("ENTRADA!B"&amp;ENTRADA!A2+3),0,0,1,1),0,0,INDIRECT("ENTRADA!E"&amp;ENTRADA!A2),1))/SUM(OFFSET(OFFSET(INDIRECT("ENTRADA!B"&amp;ENTRADA!A2+3),0,0,1,1),0,0,INDIRECT("ENTRADA!E"&amp;ENTRADA!A2),1)),0)</f>
        <v>0</v>
      </c>
      <c r="H15" s="86" cm="1">
        <f t="array" aca="1" ref="H15" ca="1">SUM((OFFSET(OFFSET(INDIRECT("ENTRADA!C"&amp;ENTRADA!A2+3),0,0,1,1),0,0,INDIRECT("ENTRADA!E"&amp;ENTRADA!A2),1)="CFL")*OFFSET(OFFSET(INDIRECT("ENTRADA!B"&amp;ENTRADA!A2+3),0,0,1,1),0,0,INDIRECT("ENTRADA!E"&amp;ENTRADA!A2),1)*OFFSET(OFFSET(INDIRECT("ENTRADA!D"&amp;ENTRADA!A2+3),0,0,1,1),0,0,INDIRECT("ENTRADA!E"&amp;ENTRADA!A2),1),(OFFSET(OFFSET(INDIRECT("ENTRADA!C"&amp;ENTRADA!A2+3),0,0,1,1),0,0,INDIRECT("ENTRADA!E"&amp;ENTRADA!A2),1)="Fluorescente")*OFFSET(OFFSET(INDIRECT("ENTRADA!B"&amp;ENTRADA!A2+3),0,0,1,1),0,0,INDIRECT("ENTRADA!E"&amp;ENTRADA!A2),1)*OFFSET(OFFSET(INDIRECT("ENTRADA!D"&amp;ENTRADA!A2+3),0,0,1,1),0,0,INDIRECT("ENTRADA!E"&amp;ENTRADA!A2),1))</f>
        <v>0</v>
      </c>
      <c r="I15" s="86">
        <f ca="1">0.55*H15</f>
        <v>0</v>
      </c>
    </row>
    <row r="16" spans="1:16" s="59" customFormat="1" ht="15" customHeight="1" x14ac:dyDescent="0.25">
      <c r="A16" s="55" t="s">
        <v>52</v>
      </c>
      <c r="B16" s="56">
        <v>1</v>
      </c>
      <c r="C16" s="57"/>
      <c r="D16" s="58"/>
      <c r="E16" s="127" t="s">
        <v>13</v>
      </c>
      <c r="F16" s="127"/>
      <c r="G16" s="85" cm="1">
        <f t="array" aca="1" ref="G16" ca="1">IFERROR(SUM((OFFSET(OFFSET(INDIRECT("ENTRADA!C"&amp;ENTRADA!A2+3),0,0,1,1),0,0,INDIRECT("ENTRADA!E"&amp;ENTRADA!A2),1)=E16)*OFFSET(OFFSET(INDIRECT("ENTRADA!B"&amp;ENTRADA!A2+3),0,0,1,1),0,0,INDIRECT("ENTRADA!E"&amp;ENTRADA!A2),1))/SUM(OFFSET(OFFSET(INDIRECT("ENTRADA!B"&amp;ENTRADA!A2+3),0,0,1,1),0,0,INDIRECT("ENTRADA!E"&amp;ENTRADA!A2),1)),0)</f>
        <v>0</v>
      </c>
      <c r="H16" s="86" cm="1">
        <f t="array" aca="1" ref="H16" ca="1">SUM((OFFSET(OFFSET(INDIRECT("ENTRADA!C"&amp;ENTRADA!A2+3),0,0,1,1),0,0,INDIRECT("ENTRADA!E"&amp;ENTRADA!A2),1)=E16)*OFFSET(OFFSET(INDIRECT("ENTRADA!B"&amp;ENTRADA!A2+3),0,0,1,1),0,0,INDIRECT("ENTRADA!E"&amp;ENTRADA!A2),1)*OFFSET(OFFSET(INDIRECT("ENTRADA!D"&amp;ENTRADA!A2+3),0,0,1,1),0,0,INDIRECT("ENTRADA!E"&amp;ENTRADA!A2),1))</f>
        <v>0</v>
      </c>
      <c r="I16" s="86">
        <f ca="1">0.62*H16</f>
        <v>0</v>
      </c>
    </row>
    <row r="17" spans="1:15" s="59" customFormat="1" ht="15" customHeight="1" x14ac:dyDescent="0.25">
      <c r="A17" s="55" t="s">
        <v>62</v>
      </c>
      <c r="B17" s="56"/>
      <c r="C17" s="57"/>
      <c r="D17" s="58"/>
      <c r="E17" s="127" t="s">
        <v>12</v>
      </c>
      <c r="F17" s="127"/>
      <c r="G17" s="85" cm="1">
        <f t="array" aca="1" ref="G17" ca="1">IFERROR(SUM((OFFSET(OFFSET(INDIRECT("ENTRADA!C"&amp;ENTRADA!A2+3),0,0,1,1),0,0,INDIRECT("ENTRADA!E"&amp;ENTRADA!A2),1)=E17)*OFFSET(OFFSET(INDIRECT("ENTRADA!B"&amp;ENTRADA!A2+3),0,0,1,1),0,0,INDIRECT("ENTRADA!E"&amp;ENTRADA!A2),1))/SUM(OFFSET(OFFSET(INDIRECT("ENTRADA!B"&amp;ENTRADA!A2+3),0,0,1,1),0,0,INDIRECT("ENTRADA!E"&amp;ENTRADA!A2),1)),0)</f>
        <v>0</v>
      </c>
      <c r="H17" s="86" cm="1">
        <f t="array" aca="1" ref="H17" ca="1">SUM((OFFSET(OFFSET(INDIRECT("ENTRADA!C"&amp;ENTRADA!A2+3),0,0,1,1),0,0,INDIRECT("ENTRADA!E"&amp;ENTRADA!A2),1)=E17)*OFFSET(OFFSET(INDIRECT("ENTRADA!B"&amp;ENTRADA!A2+3),0,0,1,1),0,0,INDIRECT("ENTRADA!E"&amp;ENTRADA!A2),1)*OFFSET(OFFSET(INDIRECT("ENTRADA!D"&amp;ENTRADA!A2+3),0,0,1,1),0,0,INDIRECT("ENTRADA!E"&amp;ENTRADA!A2),1))</f>
        <v>0</v>
      </c>
      <c r="I17" s="86">
        <f ca="1">0.65*H17</f>
        <v>0</v>
      </c>
    </row>
    <row r="18" spans="1:15" s="59" customFormat="1" ht="15" customHeight="1" x14ac:dyDescent="0.25">
      <c r="A18" s="55" t="s">
        <v>42</v>
      </c>
      <c r="B18" s="56">
        <v>1</v>
      </c>
      <c r="C18" s="57"/>
      <c r="D18" s="58"/>
      <c r="E18" s="126" t="s">
        <v>34</v>
      </c>
      <c r="F18" s="126"/>
      <c r="G18" s="85">
        <f ca="1">SUM(G14:G17)</f>
        <v>0</v>
      </c>
      <c r="H18" s="86">
        <f ca="1">SUM(H14:H17)</f>
        <v>0</v>
      </c>
      <c r="I18" s="86">
        <f ca="1">SUM(I14:I17)</f>
        <v>0</v>
      </c>
    </row>
    <row r="19" spans="1:15" s="59" customFormat="1" ht="15" customHeight="1" x14ac:dyDescent="0.25">
      <c r="A19" s="55" t="s">
        <v>63</v>
      </c>
      <c r="B19" s="56"/>
      <c r="C19" s="57"/>
      <c r="D19" s="58"/>
      <c r="E19" s="126" t="s">
        <v>37</v>
      </c>
      <c r="F19" s="126"/>
      <c r="G19" s="89">
        <f ca="1">SUM(G15:G17)</f>
        <v>0</v>
      </c>
      <c r="H19" s="86">
        <f ca="1">SUM(H15:H17)</f>
        <v>0</v>
      </c>
      <c r="I19" s="86">
        <f ca="1">SUM(I15:I17)</f>
        <v>0</v>
      </c>
    </row>
    <row r="20" spans="1:15" s="59" customFormat="1" ht="15" customHeight="1" x14ac:dyDescent="0.25">
      <c r="A20" s="55" t="s">
        <v>53</v>
      </c>
      <c r="B20" s="56">
        <v>1</v>
      </c>
      <c r="C20" s="57"/>
      <c r="D20" s="58"/>
      <c r="E20" s="58"/>
      <c r="F20" s="58"/>
      <c r="H20" s="58"/>
    </row>
    <row r="21" spans="1:15" s="59" customFormat="1" ht="15" customHeight="1" x14ac:dyDescent="0.25">
      <c r="A21" s="55" t="s">
        <v>47</v>
      </c>
      <c r="B21" s="56">
        <v>1</v>
      </c>
      <c r="C21" s="57"/>
      <c r="D21" s="58"/>
      <c r="E21" s="128" t="s">
        <v>78</v>
      </c>
      <c r="F21" s="129"/>
      <c r="G21" s="90">
        <f ca="1">IFERROR(I19/H18,0)</f>
        <v>0</v>
      </c>
      <c r="H21" s="91"/>
    </row>
    <row r="22" spans="1:15" s="59" customFormat="1" ht="15" customHeight="1" thickBot="1" x14ac:dyDescent="0.3">
      <c r="A22" s="55" t="s">
        <v>64</v>
      </c>
      <c r="B22" s="56"/>
      <c r="C22" s="57"/>
      <c r="D22" s="58"/>
    </row>
    <row r="23" spans="1:15" s="59" customFormat="1" ht="15" customHeight="1" x14ac:dyDescent="0.25">
      <c r="A23" s="55" t="s">
        <v>46</v>
      </c>
      <c r="B23" s="56">
        <v>1</v>
      </c>
      <c r="C23" s="57"/>
      <c r="D23" s="58"/>
      <c r="E23" s="68" t="str">
        <f ca="1">IF(AND(G18&gt;0,G14&lt;1),"• Actualmente, el "&amp;ROUND((1-G14)*100,1)&amp;"% de las lámparas en '"&amp;ENTRADA!E2&amp;"' no son tecnología LED, esto se traduce como un mayor costo por consumo ("&amp;TEXT(H19,"0,0")&amp;" W).","")</f>
        <v/>
      </c>
      <c r="F23" s="69"/>
      <c r="G23" s="69"/>
      <c r="H23" s="69"/>
      <c r="I23" s="69"/>
      <c r="J23" s="69"/>
      <c r="K23" s="69"/>
      <c r="L23" s="69"/>
      <c r="M23" s="69"/>
      <c r="N23" s="69"/>
      <c r="O23" s="71"/>
    </row>
    <row r="24" spans="1:15" s="59" customFormat="1" ht="15" customHeight="1" x14ac:dyDescent="0.25">
      <c r="A24" s="55" t="s">
        <v>65</v>
      </c>
      <c r="B24" s="56"/>
      <c r="C24" s="57"/>
      <c r="D24" s="58"/>
      <c r="E24" s="92" t="str">
        <f ca="1">IFERROR(IF(G21&lt;0.15,"","• Si migra a tecnología LED, podría reducirse a cero el "&amp;ROUND(G21*100,1)&amp;"% de pérdidas en calor que producen las lámparas instaladas ("&amp;TEXT(I19,"0,0")&amp;" W)"&amp;IF(G5&gt;0,",",".")),"")</f>
        <v/>
      </c>
      <c r="F24" s="74"/>
      <c r="G24" s="74"/>
      <c r="H24" s="74"/>
      <c r="I24" s="74"/>
      <c r="J24" s="74"/>
      <c r="K24" s="74"/>
      <c r="L24" s="74"/>
      <c r="M24" s="74"/>
      <c r="N24" s="74"/>
      <c r="O24" s="75"/>
    </row>
    <row r="25" spans="1:15" s="59" customFormat="1" ht="15" customHeight="1" x14ac:dyDescent="0.25">
      <c r="A25" s="55" t="s">
        <v>66</v>
      </c>
      <c r="B25" s="56"/>
      <c r="C25" s="57"/>
      <c r="D25" s="58"/>
      <c r="E25" s="92" t="str">
        <f ca="1">IF(AND(E24&lt;&gt;"",G5&gt;0),"recuerde que el calor generado por los equipos de iluminación se extrae mediante el sistema HVAC instalado.","")</f>
        <v/>
      </c>
      <c r="F25" s="74"/>
      <c r="G25" s="74"/>
      <c r="H25" s="74"/>
      <c r="I25" s="74"/>
      <c r="J25" s="74"/>
      <c r="K25" s="74"/>
      <c r="L25" s="74"/>
      <c r="M25" s="74"/>
      <c r="N25" s="74"/>
      <c r="O25" s="75"/>
    </row>
    <row r="26" spans="1:15" s="59" customFormat="1" ht="15" customHeight="1" x14ac:dyDescent="0.25">
      <c r="A26" s="55" t="s">
        <v>67</v>
      </c>
      <c r="B26" s="56"/>
      <c r="C26" s="57"/>
      <c r="D26" s="58"/>
      <c r="E26" s="92" t="str">
        <f ca="1">IF(K14&gt;0,"• Apagar la iluminación manualmente de manera responsable permite disminuir el consumo, sin embargo, confiar en el factor humano resulta en un","")</f>
        <v/>
      </c>
      <c r="F26" s="74"/>
      <c r="G26" s="74"/>
      <c r="H26" s="74"/>
      <c r="I26" s="74"/>
      <c r="J26" s="74"/>
      <c r="K26" s="74"/>
      <c r="L26" s="74"/>
      <c r="M26" s="74"/>
      <c r="N26" s="74"/>
      <c r="O26" s="75"/>
    </row>
    <row r="27" spans="1:15" s="59" customFormat="1" ht="15" customHeight="1" x14ac:dyDescent="0.25">
      <c r="A27" s="55" t="s">
        <v>68</v>
      </c>
      <c r="B27" s="56"/>
      <c r="C27" s="57"/>
      <c r="D27" s="58"/>
      <c r="E27" s="92" t="str">
        <f ca="1">IF(E26&lt;&gt;"","incremento importante en el cobro por consumo.","")</f>
        <v/>
      </c>
      <c r="F27" s="93"/>
      <c r="G27" s="93"/>
      <c r="H27" s="93"/>
      <c r="I27" s="93"/>
      <c r="J27" s="93"/>
      <c r="K27" s="93"/>
      <c r="L27" s="93"/>
      <c r="M27" s="93"/>
      <c r="N27" s="93"/>
      <c r="O27" s="75"/>
    </row>
    <row r="28" spans="1:15" s="59" customFormat="1" ht="15" customHeight="1" x14ac:dyDescent="0.25">
      <c r="A28" s="55" t="s">
        <v>51</v>
      </c>
      <c r="B28" s="56">
        <v>1</v>
      </c>
      <c r="C28" s="57"/>
      <c r="D28" s="58"/>
      <c r="E28" s="92" t="str">
        <f ca="1">IF(L14&gt;500,"• Instalar sensores en las "&amp;TEXT(M14,"0,0")&amp;" lámparas que operan manualmente, podría reducir entre el 38-55% de su consumo. "&amp;"["&amp;D57&amp;"]","")</f>
        <v/>
      </c>
      <c r="F28" s="94"/>
      <c r="G28" s="94"/>
      <c r="H28" s="94"/>
      <c r="I28" s="94"/>
      <c r="J28" s="94"/>
      <c r="K28" s="94"/>
      <c r="L28" s="94"/>
      <c r="M28" s="94"/>
      <c r="N28" s="94"/>
      <c r="O28" s="75"/>
    </row>
    <row r="29" spans="1:15" s="59" customFormat="1" ht="15" customHeight="1" x14ac:dyDescent="0.25">
      <c r="A29" s="55" t="s">
        <v>69</v>
      </c>
      <c r="B29" s="56"/>
      <c r="C29" s="57"/>
      <c r="D29" s="58"/>
      <c r="E29" s="92" t="str">
        <f ca="1">IF(E28&lt;&gt;"","     - Los sensores de ocupación podrían ahorrarle desde un 24% hasta el 55% del consumo actual de sus equipos de iluminación. "&amp;"["&amp;D58&amp;"]","")</f>
        <v/>
      </c>
      <c r="F29" s="74"/>
      <c r="G29" s="74"/>
      <c r="H29" s="74"/>
      <c r="I29" s="74"/>
      <c r="J29" s="74"/>
      <c r="K29" s="74"/>
      <c r="L29" s="74"/>
      <c r="M29" s="74"/>
      <c r="N29" s="74"/>
      <c r="O29" s="75"/>
    </row>
    <row r="30" spans="1:15" s="59" customFormat="1" ht="15" customHeight="1" x14ac:dyDescent="0.25">
      <c r="A30" s="55" t="s">
        <v>54</v>
      </c>
      <c r="B30" s="56"/>
      <c r="C30" s="57"/>
      <c r="D30" s="58"/>
      <c r="E30" s="92" t="str">
        <f ca="1">IF(E28&lt;&gt;"","     - Aprovechar la luz natural mediante sensores de regulación podría disminuir su consumo desde un 36% hasta el 50%. "&amp;"["&amp;D59&amp;"]","")</f>
        <v/>
      </c>
      <c r="F30" s="74"/>
      <c r="G30" s="74"/>
      <c r="H30" s="74"/>
      <c r="I30" s="74"/>
      <c r="J30" s="74"/>
      <c r="K30" s="74"/>
      <c r="L30" s="74"/>
      <c r="M30" s="74"/>
      <c r="N30" s="74"/>
      <c r="O30" s="75"/>
    </row>
    <row r="31" spans="1:15" s="59" customFormat="1" ht="15" customHeight="1" x14ac:dyDescent="0.25">
      <c r="A31" s="55" t="s">
        <v>44</v>
      </c>
      <c r="B31" s="56"/>
      <c r="C31" s="57"/>
      <c r="D31" s="58"/>
      <c r="E31" s="92" t="str">
        <f ca="1">IFERROR(IF(H18&gt;10000,"• Encender luminarias por bloques y de manera simultánea podría significar un incremento en el costo por demanda.",""),"")</f>
        <v/>
      </c>
      <c r="F31" s="74"/>
      <c r="G31" s="74"/>
      <c r="H31" s="74"/>
      <c r="I31" s="74"/>
      <c r="J31" s="74"/>
      <c r="K31" s="74"/>
      <c r="L31" s="74"/>
      <c r="M31" s="74"/>
      <c r="N31" s="74"/>
      <c r="O31" s="75"/>
    </row>
    <row r="32" spans="1:15" s="59" customFormat="1" ht="15" customHeight="1" x14ac:dyDescent="0.25">
      <c r="A32" s="95"/>
      <c r="B32" s="57"/>
      <c r="C32" s="57"/>
      <c r="D32" s="58"/>
      <c r="E32" s="92" t="str">
        <f ca="1">IF(H18&lt;&gt;0,"• Podría ahorrar energía eléctrica si implementa una solución de aprovechamiento de luz natural, para aquellos lugares de difícil acceso,","")</f>
        <v/>
      </c>
      <c r="F32" s="74"/>
      <c r="G32" s="74"/>
      <c r="H32" s="74"/>
      <c r="I32" s="74"/>
      <c r="J32" s="74"/>
      <c r="K32" s="74"/>
      <c r="L32" s="74"/>
      <c r="M32" s="74"/>
      <c r="N32" s="74"/>
      <c r="O32" s="75"/>
    </row>
    <row r="33" spans="1:15" s="59" customFormat="1" ht="15" customHeight="1" thickBot="1" x14ac:dyDescent="0.3">
      <c r="A33" s="96"/>
      <c r="B33" s="97"/>
      <c r="C33" s="82"/>
      <c r="D33" s="58"/>
      <c r="E33" s="98" t="str">
        <f ca="1">IF(E32&lt;&gt;"","una hibridación con transferencia por fibra óptica es su mejor opeción, para ello, solicite un estudio de viabilidad.","")</f>
        <v/>
      </c>
      <c r="F33" s="78"/>
      <c r="G33" s="78"/>
      <c r="H33" s="78"/>
      <c r="I33" s="78"/>
      <c r="J33" s="78"/>
      <c r="K33" s="78"/>
      <c r="L33" s="78"/>
      <c r="M33" s="78"/>
      <c r="N33" s="78"/>
      <c r="O33" s="79"/>
    </row>
    <row r="35" spans="1:15" s="59" customFormat="1" ht="15" customHeight="1" x14ac:dyDescent="0.25">
      <c r="A35" s="96"/>
      <c r="B35" s="81" t="s">
        <v>89</v>
      </c>
      <c r="C35" s="82"/>
      <c r="D35" s="58"/>
      <c r="E35" s="99" t="s">
        <v>75</v>
      </c>
    </row>
    <row r="36" spans="1:15" s="59" customFormat="1" ht="15" customHeight="1" x14ac:dyDescent="0.25">
      <c r="A36" s="96"/>
      <c r="B36" s="81" t="s">
        <v>90</v>
      </c>
      <c r="C36" s="82"/>
      <c r="D36" s="58"/>
    </row>
    <row r="37" spans="1:15" s="59" customFormat="1" ht="15" customHeight="1" x14ac:dyDescent="0.25">
      <c r="A37" s="96"/>
      <c r="B37" s="81" t="s">
        <v>91</v>
      </c>
      <c r="C37" s="82"/>
      <c r="D37" s="58"/>
      <c r="E37" s="63" t="s">
        <v>87</v>
      </c>
      <c r="F37" s="63" t="s">
        <v>88</v>
      </c>
      <c r="G37" s="63" t="s">
        <v>108</v>
      </c>
      <c r="H37" s="58"/>
    </row>
    <row r="38" spans="1:15" s="59" customFormat="1" ht="15" customHeight="1" x14ac:dyDescent="0.25">
      <c r="A38" s="96"/>
      <c r="B38" s="81" t="s">
        <v>92</v>
      </c>
      <c r="C38" s="82"/>
      <c r="D38" s="58"/>
      <c r="E38" s="110" cm="1">
        <f t="array" aca="1" ref="E38" ca="1">SUM(OFFSET(OFFSET(INDIRECT("ENTRADA!B"&amp;ENTRADA!A3+3),0,0,1,1),0,0,INDIRECT("ENTRADA!E"&amp;ENTRADA!A3),1)*(OFFSET(OFFSET(INDIRECT("ENTRADA!G"&amp;ENTRADA!A3+3),0,0,1,1),0,0,INDIRECT("ENTRADA!E"&amp;ENTRADA!A3),1)&lt;0.8)*ISNUMBER(OFFSET(OFFSET(INDIRECT("ENTRADA!B"&amp;ENTRADA!A3+3),0,0,1,1),0,0,INDIRECT("ENTRADA!E"&amp;ENTRADA!A3),1))*ISNUMBER(OFFSET(OFFSET(INDIRECT("ENTRADA!G"&amp;ENTRADA!A3+3),0,0,1,1),0,0,INDIRECT("ENTRADA!E"&amp;ENTRADA!A3),1)))</f>
        <v>0</v>
      </c>
      <c r="F38" s="110" cm="1">
        <f t="array" aca="1" ref="F38" ca="1">SUM(OFFSET(OFFSET(INDIRECT("ENTRADA!B"&amp;ENTRADA!A3+3),0,0,1,1),0,0,INDIRECT("ENTRADA!E"&amp;ENTRADA!A3),1)*(OFFSET(OFFSET(INDIRECT("ENTRADA!J"&amp;ENTRADA!A3+3),0,0,1,1),0,0,INDIRECT("ENTRADA!E"&amp;ENTRADA!A3),1)&gt;=2)*ISNUMBER(OFFSET(OFFSET(INDIRECT("ENTRADA!B"&amp;ENTRADA!A3+3),0,0,1,1),0,0,INDIRECT("ENTRADA!E"&amp;ENTRADA!A3),1)))</f>
        <v>0</v>
      </c>
      <c r="G38" s="110" cm="1">
        <f t="array" aca="1" ref="G38" ca="1">SUM(OFFSET(OFFSET(INDIRECT("ENTRADA!B"&amp;ENTRADA!A3+3),0,0,1,1),0,0,INDIRECT("ENTRADA!E"&amp;ENTRADA!A3),1)*(IFERROR(MATCH(UPPER(OFFSET(OFFSET(INDIRECT("ENTRADA!i"&amp;ENTRADA!A3+3),0,0,1,1),0,0,INDIRECT("ENTRADA!E"&amp;ENTRADA!A3),1)),B35:B53,0),0)&gt;2))</f>
        <v>0</v>
      </c>
      <c r="H38" s="100"/>
    </row>
    <row r="39" spans="1:15" s="59" customFormat="1" ht="15" customHeight="1" thickBot="1" x14ac:dyDescent="0.3">
      <c r="A39" s="96"/>
      <c r="B39" s="81" t="s">
        <v>93</v>
      </c>
      <c r="C39" s="82"/>
      <c r="D39" s="58"/>
      <c r="H39" s="100"/>
    </row>
    <row r="40" spans="1:15" s="59" customFormat="1" ht="15" customHeight="1" x14ac:dyDescent="0.25">
      <c r="A40" s="96"/>
      <c r="B40" s="81" t="s">
        <v>94</v>
      </c>
      <c r="C40" s="82"/>
      <c r="D40" s="58"/>
      <c r="E40" s="68" t="str">
        <f ca="1">IF(E38&gt;0,"• "&amp;E38&amp;IF(E38&gt;1," motores instalados tienen"," motor instalado tiene")&amp;" baja eficiencia, esto implica un aumento por consumo y, en su caso, una penalización en su recibo de CFE.","")</f>
        <v/>
      </c>
      <c r="F40" s="69"/>
      <c r="G40" s="69"/>
      <c r="H40" s="69"/>
      <c r="I40" s="69"/>
      <c r="J40" s="69"/>
      <c r="K40" s="69"/>
      <c r="L40" s="69"/>
      <c r="M40" s="69"/>
      <c r="N40" s="69"/>
      <c r="O40" s="71"/>
    </row>
    <row r="41" spans="1:15" s="59" customFormat="1" ht="15" customHeight="1" x14ac:dyDescent="0.25">
      <c r="A41" s="96"/>
      <c r="B41" s="81" t="s">
        <v>95</v>
      </c>
      <c r="C41" s="82"/>
      <c r="D41" s="58"/>
      <c r="E41" s="92" t="str">
        <f ca="1">IF(E40&lt;&gt;"","• Instalar un banco de capacitores puede mejorar el factor de potencia de su instalación y con ello obtener bonificaciones por un factor de potencia mayor a 90%.","")</f>
        <v/>
      </c>
      <c r="F41" s="74"/>
      <c r="G41" s="74"/>
      <c r="H41" s="74"/>
      <c r="I41" s="74"/>
      <c r="J41" s="74"/>
      <c r="K41" s="74"/>
      <c r="L41" s="74"/>
      <c r="M41" s="74"/>
      <c r="N41" s="74"/>
      <c r="O41" s="75"/>
    </row>
    <row r="42" spans="1:15" s="59" customFormat="1" ht="15" customHeight="1" x14ac:dyDescent="0.25">
      <c r="A42" s="96"/>
      <c r="B42" s="81" t="s">
        <v>96</v>
      </c>
      <c r="C42" s="82"/>
      <c r="D42" s="58"/>
      <c r="E42" s="92" t="str">
        <f ca="1">IF(F38&gt;0,"• Algunos motores tienen una operación contínua prolongada,  para reducir su costo por consumo verifique que éstos sean motores de gran eficiencia.","")</f>
        <v/>
      </c>
      <c r="F42" s="74"/>
      <c r="G42" s="74"/>
      <c r="H42" s="74"/>
      <c r="I42" s="74"/>
      <c r="J42" s="74"/>
      <c r="K42" s="74"/>
      <c r="L42" s="74"/>
      <c r="M42" s="74"/>
      <c r="N42" s="74"/>
      <c r="O42" s="75"/>
    </row>
    <row r="43" spans="1:15" s="59" customFormat="1" ht="15" customHeight="1" thickBot="1" x14ac:dyDescent="0.3">
      <c r="A43" s="96"/>
      <c r="B43" s="81" t="s">
        <v>97</v>
      </c>
      <c r="C43" s="82"/>
      <c r="D43" s="58"/>
      <c r="E43" s="98" t="str">
        <f ca="1">IF(G38&gt;0,"• Para reducir su costo por demanda considere asistir el arranque de sus motores o implemente un variador de velocidad para un arranque más suave.","")</f>
        <v/>
      </c>
      <c r="F43" s="78"/>
      <c r="G43" s="78"/>
      <c r="H43" s="78"/>
      <c r="I43" s="78"/>
      <c r="J43" s="78"/>
      <c r="K43" s="78"/>
      <c r="L43" s="78"/>
      <c r="M43" s="78"/>
      <c r="N43" s="78"/>
      <c r="O43" s="79"/>
    </row>
    <row r="44" spans="1:15" s="59" customFormat="1" ht="15" customHeight="1" x14ac:dyDescent="0.25">
      <c r="A44" s="96"/>
      <c r="B44" s="81" t="s">
        <v>98</v>
      </c>
      <c r="C44" s="82"/>
      <c r="D44" s="58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</row>
    <row r="45" spans="1:15" s="59" customFormat="1" ht="15" customHeight="1" x14ac:dyDescent="0.25">
      <c r="A45" s="96"/>
      <c r="B45" s="81" t="s">
        <v>99</v>
      </c>
      <c r="C45" s="82"/>
      <c r="D45" s="58"/>
      <c r="E45" s="101" t="s">
        <v>76</v>
      </c>
      <c r="F45" s="74"/>
      <c r="G45" s="74"/>
      <c r="H45" s="74"/>
      <c r="I45" s="74"/>
      <c r="J45" s="74"/>
      <c r="K45" s="74"/>
      <c r="L45" s="74"/>
      <c r="M45" s="74"/>
      <c r="N45" s="74"/>
      <c r="O45" s="74"/>
    </row>
    <row r="46" spans="1:15" s="59" customFormat="1" ht="15" customHeight="1" x14ac:dyDescent="0.25">
      <c r="A46" s="96"/>
      <c r="B46" s="81" t="s">
        <v>100</v>
      </c>
      <c r="C46" s="82"/>
      <c r="D46" s="58"/>
    </row>
    <row r="47" spans="1:15" s="59" customFormat="1" ht="15" customHeight="1" x14ac:dyDescent="0.25">
      <c r="A47" s="96"/>
      <c r="B47" s="81" t="s">
        <v>101</v>
      </c>
      <c r="C47" s="82"/>
      <c r="D47" s="58"/>
      <c r="E47" s="110" t="s">
        <v>7</v>
      </c>
      <c r="F47" s="110" t="s">
        <v>109</v>
      </c>
    </row>
    <row r="48" spans="1:15" s="59" customFormat="1" ht="15" customHeight="1" x14ac:dyDescent="0.25">
      <c r="A48" s="96"/>
      <c r="B48" s="81" t="s">
        <v>102</v>
      </c>
      <c r="C48" s="82"/>
      <c r="D48" s="58"/>
      <c r="E48" s="87" cm="1">
        <f t="array" aca="1" ref="E48" ca="1">INDIRECT("ENTRADA!D"&amp;ENTRADA!A5)</f>
        <v>0</v>
      </c>
      <c r="F48" s="87" cm="1">
        <f t="array" aca="1" ref="F48" ca="1">INDIRECT("ENTRADA!D"&amp;ENTRADA!A5+1)</f>
        <v>0</v>
      </c>
    </row>
    <row r="49" spans="1:15" s="59" customFormat="1" ht="15" customHeight="1" thickBot="1" x14ac:dyDescent="0.3">
      <c r="A49" s="96"/>
      <c r="B49" s="81" t="s">
        <v>103</v>
      </c>
      <c r="C49" s="82"/>
      <c r="D49" s="58"/>
    </row>
    <row r="50" spans="1:15" s="59" customFormat="1" ht="15" customHeight="1" x14ac:dyDescent="0.25">
      <c r="A50" s="96"/>
      <c r="B50" s="81" t="s">
        <v>104</v>
      </c>
      <c r="C50" s="82"/>
      <c r="D50" s="58"/>
      <c r="E50" s="68" t="str">
        <f ca="1">IF(E48&gt;50,"• Activar la suspensión automática en sus equios de cómputo podría reducir considerablemente los costos por consumo.","")</f>
        <v/>
      </c>
      <c r="F50" s="69"/>
      <c r="G50" s="69"/>
      <c r="H50" s="69"/>
      <c r="I50" s="69"/>
      <c r="J50" s="69"/>
      <c r="K50" s="69"/>
      <c r="L50" s="69"/>
      <c r="M50" s="69"/>
      <c r="N50" s="69"/>
      <c r="O50" s="71"/>
    </row>
    <row r="51" spans="1:15" s="59" customFormat="1" ht="15" customHeight="1" thickBot="1" x14ac:dyDescent="0.3">
      <c r="A51" s="96"/>
      <c r="B51" s="81" t="s">
        <v>105</v>
      </c>
      <c r="C51" s="82"/>
      <c r="D51" s="58"/>
      <c r="E51" s="98" t="str">
        <f ca="1">IF(E48&gt;50,"• Las computadoras son una fuente importante de armónicos, haga un estudio de calidad de la energía para descartar efectos negativos en su instalación.","")</f>
        <v/>
      </c>
      <c r="F51" s="78"/>
      <c r="G51" s="78"/>
      <c r="H51" s="78"/>
      <c r="I51" s="78"/>
      <c r="J51" s="78"/>
      <c r="K51" s="78"/>
      <c r="L51" s="78"/>
      <c r="M51" s="78"/>
      <c r="N51" s="78"/>
      <c r="O51" s="79"/>
    </row>
    <row r="52" spans="1:15" s="59" customFormat="1" ht="15" customHeight="1" x14ac:dyDescent="0.25">
      <c r="A52" s="96"/>
      <c r="B52" s="81" t="s">
        <v>106</v>
      </c>
      <c r="C52" s="82"/>
      <c r="D52" s="58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</row>
    <row r="53" spans="1:15" s="59" customFormat="1" ht="15" customHeight="1" x14ac:dyDescent="0.25">
      <c r="A53" s="96"/>
      <c r="B53" s="81" t="s">
        <v>107</v>
      </c>
      <c r="C53" s="82"/>
      <c r="D53" s="58"/>
      <c r="E53" s="99" t="s">
        <v>77</v>
      </c>
    </row>
    <row r="54" spans="1:15" s="59" customFormat="1" ht="15" customHeight="1" thickBot="1" x14ac:dyDescent="0.3">
      <c r="A54" s="96"/>
      <c r="B54" s="97"/>
      <c r="C54" s="82"/>
      <c r="D54" s="58"/>
    </row>
    <row r="55" spans="1:15" s="59" customFormat="1" ht="15" customHeight="1" x14ac:dyDescent="0.25">
      <c r="A55" s="96"/>
      <c r="B55" s="97"/>
      <c r="C55" s="82"/>
      <c r="D55" s="102" t="str">
        <f ca="1">IF(E9&lt;&gt;"",1,"")</f>
        <v/>
      </c>
      <c r="E55" s="103" t="str">
        <f ca="1">IF(D55&lt;&gt;"","[1] Según el tiempo de operación de compresores y la reducción del consumo pico (demanda) en referencia a los sistemas HVAC tradicionales.","")</f>
        <v/>
      </c>
      <c r="F55" s="69"/>
      <c r="G55" s="69"/>
      <c r="H55" s="69"/>
      <c r="I55" s="69"/>
      <c r="J55" s="69"/>
      <c r="K55" s="69"/>
      <c r="L55" s="69"/>
      <c r="M55" s="69"/>
      <c r="N55" s="69"/>
      <c r="O55" s="71"/>
    </row>
    <row r="56" spans="1:15" s="59" customFormat="1" ht="15" customHeight="1" x14ac:dyDescent="0.25">
      <c r="A56" s="96"/>
      <c r="B56" s="97"/>
      <c r="C56" s="82"/>
      <c r="D56" s="104"/>
      <c r="E56" s="72" t="str">
        <f ca="1">IF(E55&lt;&gt;"","La tecnología híbrida HMX (Heat mass exchanger) no emplea compresores ni refrigerante para enfriar.","")</f>
        <v/>
      </c>
      <c r="F56" s="74"/>
      <c r="G56" s="74"/>
      <c r="H56" s="74"/>
      <c r="I56" s="74"/>
      <c r="J56" s="74"/>
      <c r="K56" s="74"/>
      <c r="L56" s="74"/>
      <c r="M56" s="74"/>
      <c r="N56" s="74"/>
      <c r="O56" s="75"/>
    </row>
    <row r="57" spans="1:15" s="59" customFormat="1" ht="15" customHeight="1" x14ac:dyDescent="0.25">
      <c r="A57" s="96"/>
      <c r="B57" s="97"/>
      <c r="C57" s="82"/>
      <c r="D57" s="104" t="str">
        <f ca="1">IF(AND(D55&lt;&gt;"",L14&gt;500),2,IF(L14&gt;500,1,""))</f>
        <v/>
      </c>
      <c r="E57" s="72" t="str">
        <f ca="1">IF(D57&lt;&gt;"","["&amp;D57&amp;"]"&amp;" De acuerdo con su filosofía de operación y el nivel de luz natural que pueda aprovecharse en sitio.","")</f>
        <v/>
      </c>
      <c r="F57" s="74"/>
      <c r="G57" s="74"/>
      <c r="H57" s="74"/>
      <c r="I57" s="74"/>
      <c r="J57" s="74"/>
      <c r="K57" s="74"/>
      <c r="L57" s="74"/>
      <c r="M57" s="74"/>
      <c r="N57" s="74"/>
      <c r="O57" s="75"/>
    </row>
    <row r="58" spans="1:15" s="59" customFormat="1" ht="15" customHeight="1" x14ac:dyDescent="0.25">
      <c r="A58" s="96"/>
      <c r="B58" s="97"/>
      <c r="C58" s="82"/>
      <c r="D58" s="104" t="str">
        <f ca="1">IFERROR(D57+1,"")</f>
        <v/>
      </c>
      <c r="E58" s="92" t="str">
        <f ca="1">IF(D58&lt;&gt;"","["&amp;D58&amp;"]"&amp;" Este tipo de sensores (presencia y movimiento) proveen una mejor respuesta en espacios cerrados.","")</f>
        <v/>
      </c>
      <c r="F58" s="74"/>
      <c r="G58" s="74"/>
      <c r="H58" s="74"/>
      <c r="I58" s="74"/>
      <c r="J58" s="74"/>
      <c r="K58" s="74"/>
      <c r="L58" s="74"/>
      <c r="M58" s="74"/>
      <c r="N58" s="74"/>
      <c r="O58" s="75"/>
    </row>
    <row r="59" spans="1:15" s="59" customFormat="1" ht="15" customHeight="1" thickBot="1" x14ac:dyDescent="0.3">
      <c r="A59" s="96"/>
      <c r="B59" s="97"/>
      <c r="C59" s="82"/>
      <c r="D59" s="105" t="str">
        <f ca="1">IFERROR(D58+1,"")</f>
        <v/>
      </c>
      <c r="E59" s="98" t="str">
        <f ca="1">IF(D59&lt;&gt;"","["&amp;D59&amp;"]"&amp;" Depende de la cantidad de lámparas compatibles con dimming y de las tareas específicas que desarrolle en sitio.","")</f>
        <v/>
      </c>
      <c r="F59" s="78"/>
      <c r="G59" s="78"/>
      <c r="H59" s="78"/>
      <c r="I59" s="78"/>
      <c r="J59" s="78"/>
      <c r="K59" s="78"/>
      <c r="L59" s="78"/>
      <c r="M59" s="78"/>
      <c r="N59" s="78"/>
      <c r="O59" s="79"/>
    </row>
    <row r="62" spans="1:15" s="59" customFormat="1" ht="15" customHeight="1" x14ac:dyDescent="0.25">
      <c r="A62" s="96"/>
      <c r="B62" s="97"/>
      <c r="C62" s="82"/>
      <c r="D62" s="58"/>
      <c r="E62" s="99" t="s">
        <v>111</v>
      </c>
    </row>
    <row r="63" spans="1:15" s="59" customFormat="1" ht="15" customHeight="1" thickBot="1" x14ac:dyDescent="0.3">
      <c r="A63" s="96"/>
      <c r="B63" s="97"/>
      <c r="C63" s="82"/>
      <c r="D63" s="58"/>
    </row>
    <row r="64" spans="1:15" s="59" customFormat="1" ht="15" customHeight="1" x14ac:dyDescent="0.25">
      <c r="A64" s="96"/>
      <c r="B64" s="97"/>
      <c r="C64" s="97"/>
      <c r="D64" s="58"/>
      <c r="E64" s="68" t="str">
        <f ca="1">E7</f>
        <v/>
      </c>
      <c r="F64" s="69"/>
      <c r="G64" s="69"/>
      <c r="H64" s="69"/>
      <c r="I64" s="69"/>
      <c r="J64" s="69"/>
      <c r="K64" s="69"/>
      <c r="L64" s="69"/>
      <c r="M64" s="69"/>
      <c r="N64" s="69"/>
      <c r="O64" s="71"/>
    </row>
    <row r="65" spans="1:15" s="59" customFormat="1" ht="15" customHeight="1" x14ac:dyDescent="0.25">
      <c r="A65" s="96"/>
      <c r="B65" s="97"/>
      <c r="C65" s="97"/>
      <c r="D65" s="58"/>
      <c r="E65" s="92" t="str">
        <f t="shared" ref="E65:E66" ca="1" si="0">E8</f>
        <v/>
      </c>
      <c r="F65" s="74"/>
      <c r="G65" s="74"/>
      <c r="H65" s="74"/>
      <c r="I65" s="74"/>
      <c r="J65" s="74"/>
      <c r="K65" s="74"/>
      <c r="L65" s="74"/>
      <c r="M65" s="74"/>
      <c r="N65" s="74"/>
      <c r="O65" s="75"/>
    </row>
    <row r="66" spans="1:15" s="59" customFormat="1" ht="15" customHeight="1" thickBot="1" x14ac:dyDescent="0.3">
      <c r="A66" s="96"/>
      <c r="B66" s="97"/>
      <c r="C66" s="97"/>
      <c r="D66" s="58"/>
      <c r="E66" s="98" t="str">
        <f t="shared" ca="1" si="0"/>
        <v/>
      </c>
      <c r="F66" s="78"/>
      <c r="G66" s="78"/>
      <c r="H66" s="78"/>
      <c r="I66" s="78"/>
      <c r="J66" s="78"/>
      <c r="K66" s="78"/>
      <c r="L66" s="78"/>
      <c r="M66" s="78"/>
      <c r="N66" s="78"/>
      <c r="O66" s="79"/>
    </row>
    <row r="67" spans="1:15" s="59" customFormat="1" ht="15" customHeight="1" x14ac:dyDescent="0.25">
      <c r="A67" s="96"/>
      <c r="B67" s="97"/>
      <c r="C67" s="97"/>
      <c r="D67" s="58"/>
      <c r="E67" s="92" t="str">
        <f ca="1">E23</f>
        <v/>
      </c>
      <c r="F67" s="74"/>
      <c r="G67" s="74"/>
      <c r="H67" s="74"/>
      <c r="I67" s="74"/>
      <c r="J67" s="74"/>
      <c r="K67" s="74"/>
      <c r="L67" s="74"/>
      <c r="M67" s="74"/>
      <c r="N67" s="74"/>
      <c r="O67" s="75"/>
    </row>
    <row r="68" spans="1:15" s="59" customFormat="1" ht="15" customHeight="1" x14ac:dyDescent="0.25">
      <c r="A68" s="96"/>
      <c r="B68" s="97"/>
      <c r="C68" s="97"/>
      <c r="D68" s="58"/>
      <c r="E68" s="92" t="str">
        <f t="shared" ref="E68:E77" ca="1" si="1">E24</f>
        <v/>
      </c>
      <c r="F68" s="74"/>
      <c r="G68" s="74"/>
      <c r="H68" s="74"/>
      <c r="I68" s="74"/>
      <c r="J68" s="74"/>
      <c r="K68" s="74"/>
      <c r="L68" s="74"/>
      <c r="M68" s="74"/>
      <c r="N68" s="74"/>
      <c r="O68" s="75"/>
    </row>
    <row r="69" spans="1:15" s="59" customFormat="1" ht="15" customHeight="1" x14ac:dyDescent="0.25">
      <c r="A69" s="96"/>
      <c r="B69" s="97"/>
      <c r="C69" s="97"/>
      <c r="D69" s="58"/>
      <c r="E69" s="92" t="str">
        <f t="shared" ca="1" si="1"/>
        <v/>
      </c>
      <c r="F69" s="74"/>
      <c r="G69" s="74"/>
      <c r="H69" s="74"/>
      <c r="I69" s="74"/>
      <c r="J69" s="74"/>
      <c r="K69" s="74"/>
      <c r="L69" s="74"/>
      <c r="M69" s="74"/>
      <c r="N69" s="74"/>
      <c r="O69" s="75"/>
    </row>
    <row r="70" spans="1:15" s="59" customFormat="1" ht="15" customHeight="1" x14ac:dyDescent="0.25">
      <c r="A70" s="96"/>
      <c r="B70" s="97"/>
      <c r="C70" s="97"/>
      <c r="D70" s="58"/>
      <c r="E70" s="92" t="str">
        <f t="shared" ca="1" si="1"/>
        <v/>
      </c>
      <c r="F70" s="74"/>
      <c r="G70" s="74"/>
      <c r="H70" s="74"/>
      <c r="I70" s="74"/>
      <c r="J70" s="74"/>
      <c r="K70" s="74"/>
      <c r="L70" s="74"/>
      <c r="M70" s="74"/>
      <c r="N70" s="74"/>
      <c r="O70" s="75"/>
    </row>
    <row r="71" spans="1:15" s="59" customFormat="1" ht="15" customHeight="1" x14ac:dyDescent="0.25">
      <c r="A71" s="96"/>
      <c r="B71" s="97"/>
      <c r="C71" s="97"/>
      <c r="D71" s="58"/>
      <c r="E71" s="92" t="str">
        <f t="shared" ca="1" si="1"/>
        <v/>
      </c>
      <c r="F71" s="74"/>
      <c r="G71" s="74"/>
      <c r="H71" s="74"/>
      <c r="I71" s="74"/>
      <c r="J71" s="74"/>
      <c r="K71" s="74"/>
      <c r="L71" s="74"/>
      <c r="M71" s="74"/>
      <c r="N71" s="74"/>
      <c r="O71" s="75"/>
    </row>
    <row r="72" spans="1:15" s="59" customFormat="1" ht="15" customHeight="1" x14ac:dyDescent="0.25">
      <c r="A72" s="96"/>
      <c r="B72" s="97"/>
      <c r="C72" s="97"/>
      <c r="D72" s="58"/>
      <c r="E72" s="92" t="str">
        <f t="shared" ca="1" si="1"/>
        <v/>
      </c>
      <c r="F72" s="74"/>
      <c r="G72" s="74"/>
      <c r="H72" s="74"/>
      <c r="I72" s="74"/>
      <c r="J72" s="74"/>
      <c r="K72" s="74"/>
      <c r="L72" s="74"/>
      <c r="M72" s="74"/>
      <c r="N72" s="74"/>
      <c r="O72" s="75"/>
    </row>
    <row r="73" spans="1:15" s="59" customFormat="1" ht="15" customHeight="1" x14ac:dyDescent="0.25">
      <c r="A73" s="96"/>
      <c r="B73" s="97"/>
      <c r="C73" s="97"/>
      <c r="D73" s="58"/>
      <c r="E73" s="92" t="str">
        <f t="shared" ca="1" si="1"/>
        <v/>
      </c>
      <c r="F73" s="74"/>
      <c r="G73" s="74"/>
      <c r="H73" s="74"/>
      <c r="I73" s="74"/>
      <c r="J73" s="74"/>
      <c r="K73" s="74"/>
      <c r="L73" s="74"/>
      <c r="M73" s="74"/>
      <c r="N73" s="74"/>
      <c r="O73" s="75"/>
    </row>
    <row r="74" spans="1:15" s="59" customFormat="1" ht="15" customHeight="1" x14ac:dyDescent="0.25">
      <c r="A74" s="96"/>
      <c r="B74" s="97"/>
      <c r="C74" s="97"/>
      <c r="D74" s="58"/>
      <c r="E74" s="92" t="str">
        <f t="shared" ca="1" si="1"/>
        <v/>
      </c>
      <c r="F74" s="74"/>
      <c r="G74" s="74"/>
      <c r="H74" s="74"/>
      <c r="I74" s="74"/>
      <c r="J74" s="74"/>
      <c r="K74" s="74"/>
      <c r="L74" s="74"/>
      <c r="M74" s="74"/>
      <c r="N74" s="74"/>
      <c r="O74" s="75"/>
    </row>
    <row r="75" spans="1:15" s="59" customFormat="1" ht="15" customHeight="1" x14ac:dyDescent="0.25">
      <c r="A75" s="96"/>
      <c r="B75" s="97"/>
      <c r="C75" s="97"/>
      <c r="D75" s="58"/>
      <c r="E75" s="92" t="str">
        <f t="shared" ca="1" si="1"/>
        <v/>
      </c>
      <c r="F75" s="74"/>
      <c r="G75" s="74"/>
      <c r="H75" s="74"/>
      <c r="I75" s="74"/>
      <c r="J75" s="74"/>
      <c r="K75" s="74"/>
      <c r="L75" s="74"/>
      <c r="M75" s="74"/>
      <c r="N75" s="74"/>
      <c r="O75" s="75"/>
    </row>
    <row r="76" spans="1:15" s="59" customFormat="1" ht="15" customHeight="1" x14ac:dyDescent="0.25">
      <c r="A76" s="96"/>
      <c r="B76" s="97"/>
      <c r="C76" s="97"/>
      <c r="D76" s="58"/>
      <c r="E76" s="92" t="str">
        <f t="shared" ca="1" si="1"/>
        <v/>
      </c>
      <c r="F76" s="74"/>
      <c r="G76" s="74"/>
      <c r="H76" s="74"/>
      <c r="I76" s="74"/>
      <c r="J76" s="74"/>
      <c r="K76" s="74"/>
      <c r="L76" s="74"/>
      <c r="M76" s="74"/>
      <c r="N76" s="74"/>
      <c r="O76" s="75"/>
    </row>
    <row r="77" spans="1:15" s="59" customFormat="1" ht="15" customHeight="1" thickBot="1" x14ac:dyDescent="0.3">
      <c r="A77" s="96"/>
      <c r="B77" s="97"/>
      <c r="C77" s="97"/>
      <c r="D77" s="58"/>
      <c r="E77" s="92" t="str">
        <f t="shared" ca="1" si="1"/>
        <v/>
      </c>
      <c r="F77" s="74"/>
      <c r="G77" s="74"/>
      <c r="H77" s="74"/>
      <c r="I77" s="74"/>
      <c r="J77" s="74"/>
      <c r="K77" s="74"/>
      <c r="L77" s="74"/>
      <c r="M77" s="74"/>
      <c r="N77" s="74"/>
      <c r="O77" s="75"/>
    </row>
    <row r="78" spans="1:15" s="59" customFormat="1" ht="15" customHeight="1" x14ac:dyDescent="0.25">
      <c r="A78" s="96"/>
      <c r="B78" s="97"/>
      <c r="C78" s="97"/>
      <c r="D78" s="58"/>
      <c r="E78" s="68" t="str">
        <f ca="1">E40</f>
        <v/>
      </c>
      <c r="F78" s="69"/>
      <c r="G78" s="69"/>
      <c r="H78" s="69"/>
      <c r="I78" s="69"/>
      <c r="J78" s="69"/>
      <c r="K78" s="69"/>
      <c r="L78" s="69"/>
      <c r="M78" s="69"/>
      <c r="N78" s="69"/>
      <c r="O78" s="71"/>
    </row>
    <row r="79" spans="1:15" s="59" customFormat="1" ht="15" customHeight="1" x14ac:dyDescent="0.25">
      <c r="A79" s="96"/>
      <c r="B79" s="97"/>
      <c r="C79" s="97"/>
      <c r="D79" s="58"/>
      <c r="E79" s="92" t="str">
        <f t="shared" ref="E79:E81" ca="1" si="2">E41</f>
        <v/>
      </c>
      <c r="F79" s="74"/>
      <c r="G79" s="74"/>
      <c r="H79" s="74"/>
      <c r="I79" s="74"/>
      <c r="J79" s="74"/>
      <c r="K79" s="74"/>
      <c r="L79" s="74"/>
      <c r="M79" s="74"/>
      <c r="N79" s="74"/>
      <c r="O79" s="75"/>
    </row>
    <row r="80" spans="1:15" s="59" customFormat="1" ht="15" customHeight="1" x14ac:dyDescent="0.25">
      <c r="A80" s="96"/>
      <c r="B80" s="97"/>
      <c r="C80" s="97"/>
      <c r="D80" s="58"/>
      <c r="E80" s="92" t="str">
        <f t="shared" ca="1" si="2"/>
        <v/>
      </c>
      <c r="F80" s="74"/>
      <c r="G80" s="74"/>
      <c r="H80" s="74"/>
      <c r="I80" s="74"/>
      <c r="J80" s="74"/>
      <c r="K80" s="74"/>
      <c r="L80" s="74"/>
      <c r="M80" s="74"/>
      <c r="N80" s="74"/>
      <c r="O80" s="75"/>
    </row>
    <row r="81" spans="1:15" s="59" customFormat="1" ht="15" customHeight="1" thickBot="1" x14ac:dyDescent="0.3">
      <c r="A81" s="96"/>
      <c r="B81" s="97"/>
      <c r="C81" s="97" t="str" cm="1">
        <f t="array" aca="1" ref="C81" ca="1">IFERROR(SMALL(IFERROR(IF($E$64:$E$83&lt;&gt;"",1,"")*TRANSPOSE({1,2,3,4,5,6,7,8,9,10,11,12,13,14,15,16,17,18,19,20}),""),ROW()-63),"")</f>
        <v/>
      </c>
      <c r="D81" s="58"/>
      <c r="E81" s="98" t="str">
        <f t="shared" ca="1" si="2"/>
        <v/>
      </c>
      <c r="F81" s="78"/>
      <c r="G81" s="78"/>
      <c r="H81" s="78"/>
      <c r="I81" s="78"/>
      <c r="J81" s="78"/>
      <c r="K81" s="78"/>
      <c r="L81" s="78"/>
      <c r="M81" s="78"/>
      <c r="N81" s="78"/>
      <c r="O81" s="79"/>
    </row>
    <row r="82" spans="1:15" s="59" customFormat="1" ht="15" customHeight="1" x14ac:dyDescent="0.25">
      <c r="A82" s="96"/>
      <c r="B82" s="97"/>
      <c r="C82" s="97" t="str" cm="1">
        <f t="array" aca="1" ref="C82" ca="1">IFERROR(SMALL(IFERROR(IF($E$64:$E$83&lt;&gt;"",1,"")*TRANSPOSE({1,2,3,4,5,6,7,8,9,10,11,12,13,14,15,16,17,18,19,20}),""),ROW()-63),"")</f>
        <v/>
      </c>
      <c r="D82" s="58"/>
      <c r="E82" s="92" t="str">
        <f ca="1">E50</f>
        <v/>
      </c>
      <c r="F82" s="74"/>
      <c r="G82" s="74"/>
      <c r="H82" s="74"/>
      <c r="I82" s="74"/>
      <c r="J82" s="74"/>
      <c r="K82" s="74"/>
      <c r="L82" s="74"/>
      <c r="M82" s="74"/>
      <c r="N82" s="74"/>
      <c r="O82" s="75"/>
    </row>
    <row r="83" spans="1:15" s="59" customFormat="1" ht="15" customHeight="1" thickBot="1" x14ac:dyDescent="0.3">
      <c r="A83" s="96"/>
      <c r="B83" s="97"/>
      <c r="C83" s="97" t="str" cm="1">
        <f t="array" aca="1" ref="C83" ca="1">IFERROR(SMALL(IFERROR(IF($E$64:$E$83&lt;&gt;"",1,"")*TRANSPOSE({1,2,3,4,5,6,7,8,9,10,11,12,13,14,15,16,17,18,19,20}),""),ROW()-63),"")</f>
        <v/>
      </c>
      <c r="D83" s="58"/>
      <c r="E83" s="98" t="str">
        <f ca="1">E51</f>
        <v/>
      </c>
      <c r="F83" s="78"/>
      <c r="G83" s="78"/>
      <c r="H83" s="78"/>
      <c r="I83" s="78"/>
      <c r="J83" s="78"/>
      <c r="K83" s="78"/>
      <c r="L83" s="78"/>
      <c r="M83" s="78"/>
      <c r="N83" s="78"/>
      <c r="O83" s="79"/>
    </row>
    <row r="85" spans="1:15" s="59" customFormat="1" ht="15" customHeight="1" x14ac:dyDescent="0.25">
      <c r="A85" s="96"/>
      <c r="B85" s="97"/>
      <c r="C85" s="82"/>
      <c r="D85" s="58"/>
      <c r="E85" s="99" t="s">
        <v>120</v>
      </c>
    </row>
    <row r="86" spans="1:15" s="59" customFormat="1" ht="15" customHeight="1" thickBot="1" x14ac:dyDescent="0.3">
      <c r="A86" s="96"/>
      <c r="B86" s="97"/>
      <c r="C86" s="82"/>
      <c r="D86" s="58"/>
    </row>
    <row r="87" spans="1:15" s="59" customFormat="1" ht="15" customHeight="1" thickBot="1" x14ac:dyDescent="0.3">
      <c r="A87" s="96"/>
      <c r="B87" s="97"/>
      <c r="C87" s="106">
        <f ca="1">20-COUNTBLANK(E87:E106)</f>
        <v>0</v>
      </c>
      <c r="D87" s="107" t="str" cm="1">
        <f t="array" aca="1" ref="D87" ca="1">IFERROR(SMALL(IFERROR(IF($E$64:$E$83&lt;&gt;"",1,"")*TRANSPOSE({1,2,3,4,5,6,7,8,9,10,11,12,13,14,15,16,17,18,19,20}),""),ROW()-86),"")</f>
        <v/>
      </c>
      <c r="E87" s="68" t="str">
        <f ca="1">IFERROR(OFFSET($E$64,D87-1,0,1,1),"")</f>
        <v/>
      </c>
      <c r="F87" s="69"/>
      <c r="G87" s="69"/>
      <c r="H87" s="69"/>
      <c r="I87" s="69"/>
      <c r="J87" s="69"/>
      <c r="K87" s="69"/>
      <c r="L87" s="69"/>
      <c r="M87" s="69"/>
      <c r="N87" s="69"/>
      <c r="O87" s="71"/>
    </row>
    <row r="88" spans="1:15" s="59" customFormat="1" ht="15" customHeight="1" x14ac:dyDescent="0.25">
      <c r="A88" s="96"/>
      <c r="B88" s="97"/>
      <c r="C88" s="82"/>
      <c r="D88" s="108" t="str" cm="1">
        <f t="array" aca="1" ref="D88" ca="1">IFERROR(SMALL(IFERROR(IF($E$64:$E$83&lt;&gt;"",1,"")*TRANSPOSE({1,2,3,4,5,6,7,8,9,10,11,12,13,14,15,16,17,18,19,20}),""),ROW()-86),"")</f>
        <v/>
      </c>
      <c r="E88" s="92" t="str">
        <f t="shared" ref="E88:E106" ca="1" si="3">IFERROR(OFFSET($E$64,D88-1,0,1,1),"")</f>
        <v/>
      </c>
      <c r="F88" s="74"/>
      <c r="G88" s="74"/>
      <c r="H88" s="74"/>
      <c r="I88" s="74"/>
      <c r="J88" s="74"/>
      <c r="K88" s="74"/>
      <c r="L88" s="74"/>
      <c r="M88" s="74"/>
      <c r="N88" s="74"/>
      <c r="O88" s="75"/>
    </row>
    <row r="89" spans="1:15" s="59" customFormat="1" ht="15" customHeight="1" x14ac:dyDescent="0.25">
      <c r="A89" s="96"/>
      <c r="B89" s="97"/>
      <c r="C89" s="82"/>
      <c r="D89" s="108" t="str" cm="1">
        <f t="array" aca="1" ref="D89" ca="1">IFERROR(SMALL(IFERROR(IF($E$64:$E$83&lt;&gt;"",1,"")*TRANSPOSE({1,2,3,4,5,6,7,8,9,10,11,12,13,14,15,16,17,18,19,20}),""),ROW()-86),"")</f>
        <v/>
      </c>
      <c r="E89" s="92" t="str">
        <f t="shared" ca="1" si="3"/>
        <v/>
      </c>
      <c r="F89" s="74"/>
      <c r="G89" s="74"/>
      <c r="H89" s="74"/>
      <c r="I89" s="74"/>
      <c r="J89" s="74"/>
      <c r="K89" s="74"/>
      <c r="L89" s="74"/>
      <c r="M89" s="74"/>
      <c r="N89" s="74"/>
      <c r="O89" s="75"/>
    </row>
    <row r="90" spans="1:15" s="59" customFormat="1" ht="15" customHeight="1" x14ac:dyDescent="0.25">
      <c r="A90" s="96"/>
      <c r="B90" s="97"/>
      <c r="C90" s="82"/>
      <c r="D90" s="108" t="str" cm="1">
        <f t="array" aca="1" ref="D90" ca="1">IFERROR(SMALL(IFERROR(IF($E$64:$E$83&lt;&gt;"",1,"")*TRANSPOSE({1,2,3,4,5,6,7,8,9,10,11,12,13,14,15,16,17,18,19,20}),""),ROW()-86),"")</f>
        <v/>
      </c>
      <c r="E90" s="92" t="str">
        <f t="shared" ca="1" si="3"/>
        <v/>
      </c>
      <c r="F90" s="74"/>
      <c r="G90" s="74"/>
      <c r="H90" s="74"/>
      <c r="I90" s="74"/>
      <c r="J90" s="74"/>
      <c r="K90" s="74"/>
      <c r="L90" s="74"/>
      <c r="M90" s="74"/>
      <c r="N90" s="74"/>
      <c r="O90" s="75"/>
    </row>
    <row r="91" spans="1:15" s="59" customFormat="1" ht="15" customHeight="1" x14ac:dyDescent="0.25">
      <c r="A91" s="96"/>
      <c r="B91" s="97"/>
      <c r="C91" s="82"/>
      <c r="D91" s="108" t="str" cm="1">
        <f t="array" aca="1" ref="D91" ca="1">IFERROR(SMALL(IFERROR(IF($E$64:$E$83&lt;&gt;"",1,"")*TRANSPOSE({1,2,3,4,5,6,7,8,9,10,11,12,13,14,15,16,17,18,19,20}),""),ROW()-86),"")</f>
        <v/>
      </c>
      <c r="E91" s="92" t="str">
        <f t="shared" ca="1" si="3"/>
        <v/>
      </c>
      <c r="F91" s="74"/>
      <c r="G91" s="74"/>
      <c r="H91" s="74"/>
      <c r="I91" s="74"/>
      <c r="J91" s="74"/>
      <c r="K91" s="74"/>
      <c r="L91" s="74"/>
      <c r="M91" s="74"/>
      <c r="N91" s="74"/>
      <c r="O91" s="75"/>
    </row>
    <row r="92" spans="1:15" s="59" customFormat="1" ht="15" customHeight="1" x14ac:dyDescent="0.25">
      <c r="A92" s="96"/>
      <c r="B92" s="97"/>
      <c r="C92" s="82"/>
      <c r="D92" s="108" t="str" cm="1">
        <f t="array" aca="1" ref="D92" ca="1">IFERROR(SMALL(IFERROR(IF($E$64:$E$83&lt;&gt;"",1,"")*TRANSPOSE({1,2,3,4,5,6,7,8,9,10,11,12,13,14,15,16,17,18,19,20}),""),ROW()-86),"")</f>
        <v/>
      </c>
      <c r="E92" s="92" t="str">
        <f t="shared" ca="1" si="3"/>
        <v/>
      </c>
      <c r="F92" s="74"/>
      <c r="G92" s="74"/>
      <c r="H92" s="74"/>
      <c r="I92" s="74"/>
      <c r="J92" s="74"/>
      <c r="K92" s="74"/>
      <c r="L92" s="74"/>
      <c r="M92" s="74"/>
      <c r="N92" s="74"/>
      <c r="O92" s="75"/>
    </row>
    <row r="93" spans="1:15" s="59" customFormat="1" ht="15" customHeight="1" x14ac:dyDescent="0.25">
      <c r="A93" s="96"/>
      <c r="B93" s="97"/>
      <c r="C93" s="82"/>
      <c r="D93" s="108" t="str" cm="1">
        <f t="array" aca="1" ref="D93" ca="1">IFERROR(SMALL(IFERROR(IF($E$64:$E$83&lt;&gt;"",1,"")*TRANSPOSE({1,2,3,4,5,6,7,8,9,10,11,12,13,14,15,16,17,18,19,20}),""),ROW()-86),"")</f>
        <v/>
      </c>
      <c r="E93" s="92" t="str">
        <f t="shared" ca="1" si="3"/>
        <v/>
      </c>
      <c r="F93" s="74"/>
      <c r="G93" s="74"/>
      <c r="H93" s="74"/>
      <c r="I93" s="74"/>
      <c r="J93" s="74"/>
      <c r="K93" s="74"/>
      <c r="L93" s="74"/>
      <c r="M93" s="74"/>
      <c r="N93" s="74"/>
      <c r="O93" s="75"/>
    </row>
    <row r="94" spans="1:15" s="59" customFormat="1" ht="15" customHeight="1" x14ac:dyDescent="0.25">
      <c r="A94" s="96"/>
      <c r="B94" s="97"/>
      <c r="C94" s="82"/>
      <c r="D94" s="108" t="str" cm="1">
        <f t="array" aca="1" ref="D94" ca="1">IFERROR(SMALL(IFERROR(IF($E$64:$E$83&lt;&gt;"",1,"")*TRANSPOSE({1,2,3,4,5,6,7,8,9,10,11,12,13,14,15,16,17,18,19,20}),""),ROW()-86),"")</f>
        <v/>
      </c>
      <c r="E94" s="92" t="str">
        <f t="shared" ca="1" si="3"/>
        <v/>
      </c>
      <c r="F94" s="74"/>
      <c r="G94" s="74"/>
      <c r="H94" s="74"/>
      <c r="I94" s="74"/>
      <c r="J94" s="74"/>
      <c r="K94" s="74"/>
      <c r="L94" s="74"/>
      <c r="M94" s="74"/>
      <c r="N94" s="74"/>
      <c r="O94" s="75"/>
    </row>
    <row r="95" spans="1:15" s="59" customFormat="1" ht="15" customHeight="1" x14ac:dyDescent="0.25">
      <c r="A95" s="96"/>
      <c r="B95" s="97"/>
      <c r="C95" s="82"/>
      <c r="D95" s="108" t="str" cm="1">
        <f t="array" aca="1" ref="D95" ca="1">IFERROR(SMALL(IFERROR(IF($E$64:$E$83&lt;&gt;"",1,"")*TRANSPOSE({1,2,3,4,5,6,7,8,9,10,11,12,13,14,15,16,17,18,19,20}),""),ROW()-86),"")</f>
        <v/>
      </c>
      <c r="E95" s="92" t="str">
        <f t="shared" ca="1" si="3"/>
        <v/>
      </c>
      <c r="F95" s="74"/>
      <c r="G95" s="74"/>
      <c r="H95" s="74"/>
      <c r="I95" s="74"/>
      <c r="J95" s="74"/>
      <c r="K95" s="74"/>
      <c r="L95" s="74"/>
      <c r="M95" s="74"/>
      <c r="N95" s="74"/>
      <c r="O95" s="75"/>
    </row>
    <row r="96" spans="1:15" s="59" customFormat="1" ht="15" customHeight="1" x14ac:dyDescent="0.25">
      <c r="A96" s="96"/>
      <c r="B96" s="97"/>
      <c r="C96" s="82"/>
      <c r="D96" s="108" t="str" cm="1">
        <f t="array" aca="1" ref="D96" ca="1">IFERROR(SMALL(IFERROR(IF($E$64:$E$83&lt;&gt;"",1,"")*TRANSPOSE({1,2,3,4,5,6,7,8,9,10,11,12,13,14,15,16,17,18,19,20}),""),ROW()-86),"")</f>
        <v/>
      </c>
      <c r="E96" s="92" t="str">
        <f t="shared" ca="1" si="3"/>
        <v/>
      </c>
      <c r="F96" s="74"/>
      <c r="G96" s="74"/>
      <c r="H96" s="74"/>
      <c r="I96" s="74"/>
      <c r="J96" s="74"/>
      <c r="K96" s="74"/>
      <c r="L96" s="74"/>
      <c r="M96" s="74"/>
      <c r="N96" s="74"/>
      <c r="O96" s="75"/>
    </row>
    <row r="97" spans="1:15" s="59" customFormat="1" ht="15" customHeight="1" x14ac:dyDescent="0.25">
      <c r="A97" s="96"/>
      <c r="B97" s="97"/>
      <c r="C97" s="82"/>
      <c r="D97" s="108" t="str" cm="1">
        <f t="array" aca="1" ref="D97" ca="1">IFERROR(SMALL(IFERROR(IF($E$64:$E$83&lt;&gt;"",1,"")*TRANSPOSE({1,2,3,4,5,6,7,8,9,10,11,12,13,14,15,16,17,18,19,20}),""),ROW()-86),"")</f>
        <v/>
      </c>
      <c r="E97" s="92" t="str">
        <f t="shared" ca="1" si="3"/>
        <v/>
      </c>
      <c r="F97" s="74"/>
      <c r="G97" s="74"/>
      <c r="H97" s="74"/>
      <c r="I97" s="74"/>
      <c r="J97" s="74"/>
      <c r="K97" s="74"/>
      <c r="L97" s="74"/>
      <c r="M97" s="74"/>
      <c r="N97" s="74"/>
      <c r="O97" s="75"/>
    </row>
    <row r="98" spans="1:15" s="59" customFormat="1" ht="15" customHeight="1" x14ac:dyDescent="0.25">
      <c r="A98" s="96"/>
      <c r="B98" s="97"/>
      <c r="C98" s="82"/>
      <c r="D98" s="108" t="str" cm="1">
        <f t="array" aca="1" ref="D98" ca="1">IFERROR(SMALL(IFERROR(IF($E$64:$E$83&lt;&gt;"",1,"")*TRANSPOSE({1,2,3,4,5,6,7,8,9,10,11,12,13,14,15,16,17,18,19,20}),""),ROW()-86),"")</f>
        <v/>
      </c>
      <c r="E98" s="92" t="str">
        <f t="shared" ca="1" si="3"/>
        <v/>
      </c>
      <c r="F98" s="74"/>
      <c r="G98" s="74"/>
      <c r="H98" s="74"/>
      <c r="I98" s="74"/>
      <c r="J98" s="74"/>
      <c r="K98" s="74"/>
      <c r="L98" s="74"/>
      <c r="M98" s="74"/>
      <c r="N98" s="74"/>
      <c r="O98" s="75"/>
    </row>
    <row r="99" spans="1:15" s="59" customFormat="1" ht="15" customHeight="1" x14ac:dyDescent="0.25">
      <c r="A99" s="96"/>
      <c r="B99" s="97"/>
      <c r="C99" s="82"/>
      <c r="D99" s="108" t="str" cm="1">
        <f t="array" aca="1" ref="D99" ca="1">IFERROR(SMALL(IFERROR(IF($E$64:$E$83&lt;&gt;"",1,"")*TRANSPOSE({1,2,3,4,5,6,7,8,9,10,11,12,13,14,15,16,17,18,19,20}),""),ROW()-86),"")</f>
        <v/>
      </c>
      <c r="E99" s="92" t="str">
        <f t="shared" ca="1" si="3"/>
        <v/>
      </c>
      <c r="F99" s="74"/>
      <c r="G99" s="74"/>
      <c r="H99" s="74"/>
      <c r="I99" s="74"/>
      <c r="J99" s="74"/>
      <c r="K99" s="74"/>
      <c r="L99" s="74"/>
      <c r="M99" s="74"/>
      <c r="N99" s="74"/>
      <c r="O99" s="75"/>
    </row>
    <row r="100" spans="1:15" s="59" customFormat="1" ht="15" customHeight="1" x14ac:dyDescent="0.25">
      <c r="A100" s="96"/>
      <c r="B100" s="97"/>
      <c r="C100" s="82"/>
      <c r="D100" s="108" t="str" cm="1">
        <f t="array" aca="1" ref="D100" ca="1">IFERROR(SMALL(IFERROR(IF($E$64:$E$83&lt;&gt;"",1,"")*TRANSPOSE({1,2,3,4,5,6,7,8,9,10,11,12,13,14,15,16,17,18,19,20}),""),ROW()-86),"")</f>
        <v/>
      </c>
      <c r="E100" s="92" t="str">
        <f t="shared" ca="1" si="3"/>
        <v/>
      </c>
      <c r="F100" s="74"/>
      <c r="G100" s="74"/>
      <c r="H100" s="74"/>
      <c r="I100" s="74"/>
      <c r="J100" s="74"/>
      <c r="K100" s="74"/>
      <c r="L100" s="74"/>
      <c r="M100" s="74"/>
      <c r="N100" s="74"/>
      <c r="O100" s="75"/>
    </row>
    <row r="101" spans="1:15" s="59" customFormat="1" ht="15" customHeight="1" x14ac:dyDescent="0.25">
      <c r="A101" s="96"/>
      <c r="B101" s="97"/>
      <c r="C101" s="82"/>
      <c r="D101" s="108" t="str" cm="1">
        <f t="array" aca="1" ref="D101" ca="1">IFERROR(SMALL(IFERROR(IF($E$64:$E$83&lt;&gt;"",1,"")*TRANSPOSE({1,2,3,4,5,6,7,8,9,10,11,12,13,14,15,16,17,18,19,20}),""),ROW()-86),"")</f>
        <v/>
      </c>
      <c r="E101" s="92" t="str">
        <f t="shared" ca="1" si="3"/>
        <v/>
      </c>
      <c r="F101" s="74"/>
      <c r="G101" s="74"/>
      <c r="H101" s="74"/>
      <c r="I101" s="74"/>
      <c r="J101" s="74"/>
      <c r="K101" s="74"/>
      <c r="L101" s="74"/>
      <c r="M101" s="74"/>
      <c r="N101" s="74"/>
      <c r="O101" s="75"/>
    </row>
    <row r="102" spans="1:15" s="59" customFormat="1" ht="15" customHeight="1" x14ac:dyDescent="0.25">
      <c r="A102" s="96"/>
      <c r="B102" s="97"/>
      <c r="C102" s="82"/>
      <c r="D102" s="108" t="str" cm="1">
        <f t="array" aca="1" ref="D102" ca="1">IFERROR(SMALL(IFERROR(IF($E$64:$E$83&lt;&gt;"",1,"")*TRANSPOSE({1,2,3,4,5,6,7,8,9,10,11,12,13,14,15,16,17,18,19,20}),""),ROW()-86),"")</f>
        <v/>
      </c>
      <c r="E102" s="92" t="str">
        <f t="shared" ca="1" si="3"/>
        <v/>
      </c>
      <c r="F102" s="74"/>
      <c r="G102" s="74"/>
      <c r="H102" s="74"/>
      <c r="I102" s="74"/>
      <c r="J102" s="74"/>
      <c r="K102" s="74"/>
      <c r="L102" s="74"/>
      <c r="M102" s="74"/>
      <c r="N102" s="74"/>
      <c r="O102" s="75"/>
    </row>
    <row r="103" spans="1:15" s="59" customFormat="1" ht="15" customHeight="1" x14ac:dyDescent="0.25">
      <c r="A103" s="96"/>
      <c r="B103" s="97"/>
      <c r="C103" s="82"/>
      <c r="D103" s="108" t="str" cm="1">
        <f t="array" aca="1" ref="D103" ca="1">IFERROR(SMALL(IFERROR(IF($E$64:$E$83&lt;&gt;"",1,"")*TRANSPOSE({1,2,3,4,5,6,7,8,9,10,11,12,13,14,15,16,17,18,19,20}),""),ROW()-86),"")</f>
        <v/>
      </c>
      <c r="E103" s="92" t="str">
        <f t="shared" ca="1" si="3"/>
        <v/>
      </c>
      <c r="F103" s="74"/>
      <c r="G103" s="74"/>
      <c r="H103" s="74"/>
      <c r="I103" s="74"/>
      <c r="J103" s="74"/>
      <c r="K103" s="74"/>
      <c r="L103" s="74"/>
      <c r="M103" s="74"/>
      <c r="N103" s="74"/>
      <c r="O103" s="75"/>
    </row>
    <row r="104" spans="1:15" s="59" customFormat="1" ht="15" customHeight="1" x14ac:dyDescent="0.25">
      <c r="A104" s="96"/>
      <c r="B104" s="97"/>
      <c r="C104" s="82"/>
      <c r="D104" s="108" t="str" cm="1">
        <f t="array" aca="1" ref="D104" ca="1">IFERROR(SMALL(IFERROR(IF($E$64:$E$83&lt;&gt;"",1,"")*TRANSPOSE({1,2,3,4,5,6,7,8,9,10,11,12,13,14,15,16,17,18,19,20}),""),ROW()-86),"")</f>
        <v/>
      </c>
      <c r="E104" s="92" t="str">
        <f t="shared" ca="1" si="3"/>
        <v/>
      </c>
      <c r="F104" s="74"/>
      <c r="G104" s="74"/>
      <c r="H104" s="74"/>
      <c r="I104" s="74"/>
      <c r="J104" s="74"/>
      <c r="K104" s="74"/>
      <c r="L104" s="74"/>
      <c r="M104" s="74"/>
      <c r="N104" s="74"/>
      <c r="O104" s="75"/>
    </row>
    <row r="105" spans="1:15" s="59" customFormat="1" ht="15" customHeight="1" x14ac:dyDescent="0.25">
      <c r="A105" s="96"/>
      <c r="B105" s="97"/>
      <c r="C105" s="82"/>
      <c r="D105" s="108" t="str" cm="1">
        <f t="array" aca="1" ref="D105" ca="1">IFERROR(SMALL(IFERROR(IF($E$64:$E$83&lt;&gt;"",1,"")*TRANSPOSE({1,2,3,4,5,6,7,8,9,10,11,12,13,14,15,16,17,18,19,20}),""),ROW()-86),"")</f>
        <v/>
      </c>
      <c r="E105" s="92" t="str">
        <f t="shared" ca="1" si="3"/>
        <v/>
      </c>
      <c r="F105" s="74"/>
      <c r="G105" s="74"/>
      <c r="H105" s="74"/>
      <c r="I105" s="74"/>
      <c r="J105" s="74"/>
      <c r="K105" s="74"/>
      <c r="L105" s="74"/>
      <c r="M105" s="74"/>
      <c r="N105" s="74"/>
      <c r="O105" s="75"/>
    </row>
    <row r="106" spans="1:15" s="59" customFormat="1" ht="15" customHeight="1" thickBot="1" x14ac:dyDescent="0.3">
      <c r="A106" s="96"/>
      <c r="B106" s="97"/>
      <c r="C106" s="82"/>
      <c r="D106" s="109" t="str" cm="1">
        <f t="array" aca="1" ref="D106" ca="1">IFERROR(SMALL(IFERROR(IF($E$64:$E$83&lt;&gt;"",1,"")*TRANSPOSE({1,2,3,4,5,6,7,8,9,10,11,12,13,14,15,16,17,18,19,20}),""),ROW()-86),"")</f>
        <v/>
      </c>
      <c r="E106" s="98" t="str">
        <f t="shared" ca="1" si="3"/>
        <v/>
      </c>
      <c r="F106" s="78"/>
      <c r="G106" s="78"/>
      <c r="H106" s="78"/>
      <c r="I106" s="78"/>
      <c r="J106" s="78"/>
      <c r="K106" s="78"/>
      <c r="L106" s="78"/>
      <c r="M106" s="78"/>
      <c r="N106" s="78"/>
      <c r="O106" s="79"/>
    </row>
    <row r="108" spans="1:15" s="59" customFormat="1" ht="15" customHeight="1" x14ac:dyDescent="0.25">
      <c r="A108" s="96"/>
      <c r="B108" s="97"/>
      <c r="C108" s="82"/>
      <c r="D108" s="58"/>
      <c r="E108" s="99" t="s">
        <v>121</v>
      </c>
    </row>
    <row r="109" spans="1:15" s="59" customFormat="1" ht="15" customHeight="1" thickBot="1" x14ac:dyDescent="0.3">
      <c r="A109" s="96"/>
      <c r="B109" s="97"/>
      <c r="C109" s="82"/>
      <c r="D109" s="58"/>
    </row>
    <row r="110" spans="1:15" s="59" customFormat="1" ht="15" customHeight="1" thickBot="1" x14ac:dyDescent="0.3">
      <c r="A110" s="96"/>
      <c r="B110" s="97"/>
      <c r="C110" s="131">
        <f ca="1">5-COUNTBLANK(E110:E114)</f>
        <v>0</v>
      </c>
      <c r="D110" s="107" t="str" cm="1">
        <f t="array" aca="1" ref="D110" ca="1">IFERROR(SMALL(IFERROR(IF($E$55:$E$59&lt;&gt;"",1,"")*TRANSPOSE({1,2,3,4,5}),""),ROW()-109),"")</f>
        <v/>
      </c>
      <c r="E110" s="103" t="str">
        <f ca="1">IFERROR(OFFSET($E$55,D110-1,0,1,1),"")</f>
        <v/>
      </c>
      <c r="F110" s="69"/>
      <c r="G110" s="69"/>
      <c r="H110" s="69"/>
      <c r="I110" s="69"/>
      <c r="J110" s="69"/>
      <c r="K110" s="69"/>
      <c r="L110" s="69"/>
      <c r="M110" s="69"/>
      <c r="N110" s="69"/>
      <c r="O110" s="71"/>
    </row>
    <row r="111" spans="1:15" s="59" customFormat="1" ht="15" customHeight="1" x14ac:dyDescent="0.25">
      <c r="A111" s="96"/>
      <c r="B111" s="97"/>
      <c r="C111" s="82"/>
      <c r="D111" s="108" t="str" cm="1">
        <f t="array" aca="1" ref="D111" ca="1">IFERROR(SMALL(IFERROR(IF($E$55:$E$59&lt;&gt;"",1,"")*TRANSPOSE({1,2,3,4,5}),""),ROW()-109),"")</f>
        <v/>
      </c>
      <c r="E111" s="72" t="str">
        <f t="shared" ref="E111:E114" ca="1" si="4">IFERROR(OFFSET($E$55,D111-1,0,1,1),"")</f>
        <v/>
      </c>
      <c r="F111" s="74"/>
      <c r="G111" s="74"/>
      <c r="H111" s="74"/>
      <c r="I111" s="74"/>
      <c r="J111" s="74"/>
      <c r="K111" s="74"/>
      <c r="L111" s="74"/>
      <c r="M111" s="74"/>
      <c r="N111" s="74"/>
      <c r="O111" s="75"/>
    </row>
    <row r="112" spans="1:15" s="59" customFormat="1" ht="15" customHeight="1" x14ac:dyDescent="0.25">
      <c r="A112" s="96"/>
      <c r="B112" s="97"/>
      <c r="C112" s="82"/>
      <c r="D112" s="108" t="str" cm="1">
        <f t="array" aca="1" ref="D112" ca="1">IFERROR(SMALL(IFERROR(IF($E$55:$E$59&lt;&gt;"",1,"")*TRANSPOSE({1,2,3,4,5}),""),ROW()-109),"")</f>
        <v/>
      </c>
      <c r="E112" s="72" t="str">
        <f t="shared" ca="1" si="4"/>
        <v/>
      </c>
      <c r="F112" s="74"/>
      <c r="G112" s="74"/>
      <c r="H112" s="74"/>
      <c r="I112" s="74"/>
      <c r="J112" s="74"/>
      <c r="K112" s="74"/>
      <c r="L112" s="74"/>
      <c r="M112" s="74"/>
      <c r="N112" s="74"/>
      <c r="O112" s="75"/>
    </row>
    <row r="113" spans="1:15" s="59" customFormat="1" ht="15" customHeight="1" x14ac:dyDescent="0.25">
      <c r="A113" s="96"/>
      <c r="B113" s="97"/>
      <c r="C113" s="82"/>
      <c r="D113" s="108" t="str" cm="1">
        <f t="array" aca="1" ref="D113" ca="1">IFERROR(SMALL(IFERROR(IF($E$55:$E$59&lt;&gt;"",1,"")*TRANSPOSE({1,2,3,4,5}),""),ROW()-109),"")</f>
        <v/>
      </c>
      <c r="E113" s="72" t="str">
        <f t="shared" ca="1" si="4"/>
        <v/>
      </c>
      <c r="F113" s="74"/>
      <c r="G113" s="74"/>
      <c r="H113" s="74"/>
      <c r="I113" s="74"/>
      <c r="J113" s="74"/>
      <c r="K113" s="74"/>
      <c r="L113" s="74"/>
      <c r="M113" s="74"/>
      <c r="N113" s="74"/>
      <c r="O113" s="75"/>
    </row>
    <row r="114" spans="1:15" s="59" customFormat="1" ht="15" customHeight="1" thickBot="1" x14ac:dyDescent="0.3">
      <c r="A114" s="96"/>
      <c r="B114" s="97"/>
      <c r="C114" s="82"/>
      <c r="D114" s="109" t="str" cm="1">
        <f t="array" aca="1" ref="D114" ca="1">IFERROR(SMALL(IFERROR(IF($E$55:$E$59&lt;&gt;"",1,"")*TRANSPOSE({1,2,3,4,5}),""),ROW()-109),"")</f>
        <v/>
      </c>
      <c r="E114" s="76" t="str">
        <f t="shared" ca="1" si="4"/>
        <v/>
      </c>
      <c r="F114" s="78"/>
      <c r="G114" s="78"/>
      <c r="H114" s="78"/>
      <c r="I114" s="78"/>
      <c r="J114" s="78"/>
      <c r="K114" s="78"/>
      <c r="L114" s="78"/>
      <c r="M114" s="78"/>
      <c r="N114" s="78"/>
      <c r="O114" s="79"/>
    </row>
  </sheetData>
  <sheetProtection algorithmName="SHA-512" hashValue="N76U4LD9AZVdzynOTuT3+i0QwPLY+aAqXscpExow0aPzwHJ3nKaEQG4m4AeqYqV0ykcuFBFcJ7tr7ZyZN9LkEw==" saltValue="X56Hoh5k07Pwr5DwaZraJQ==" spinCount="100000" sheet="1" objects="1" scenarios="1" selectLockedCells="1" selectUnlockedCells="1"/>
  <mergeCells count="8">
    <mergeCell ref="E13:F13"/>
    <mergeCell ref="E18:F18"/>
    <mergeCell ref="E14:F14"/>
    <mergeCell ref="E21:F21"/>
    <mergeCell ref="E15:F15"/>
    <mergeCell ref="E16:F16"/>
    <mergeCell ref="E17:F17"/>
    <mergeCell ref="E19:F19"/>
  </mergeCells>
  <pageMargins left="0.7" right="0.7" top="0.75" bottom="0.75" header="0.3" footer="0.3"/>
  <pageSetup orientation="portrait" r:id="rId1"/>
  <ignoredErrors>
    <ignoredError sqref="G15:H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30"/>
  <sheetViews>
    <sheetView zoomScaleNormal="100" workbookViewId="0"/>
  </sheetViews>
  <sheetFormatPr baseColWidth="10" defaultRowHeight="15" customHeight="1" x14ac:dyDescent="0.25"/>
  <cols>
    <col min="1" max="1" width="3.28515625" style="8" customWidth="1"/>
    <col min="2" max="2" width="20.28515625" style="8" bestFit="1" customWidth="1"/>
    <col min="3" max="10" width="11.42578125" style="2"/>
    <col min="11" max="11" width="11.85546875" style="2" bestFit="1" customWidth="1"/>
    <col min="12" max="14" width="11.42578125" style="2"/>
    <col min="15" max="15" width="11.85546875" style="2" bestFit="1" customWidth="1"/>
    <col min="16" max="16384" width="11.42578125" style="2"/>
  </cols>
  <sheetData>
    <row r="1" spans="1:14" ht="15" customHeight="1" x14ac:dyDescent="0.25">
      <c r="A1" s="35">
        <f>IF(OR(ENTRADA!E9="DB1",ENTRADA!E9="DB2",ENTRADA!E9="PDBT",ENTRADA!E9="RABT",ENTRADA!E9="APBT"),1,IF(OR(ENTRADA!E9="GDBT",ENTRADA!E9="RAMT",ENTRADA!E9="APMT",ENTRADA!E9="GDMTO"),2,IF(OR(ENTRADA!E9="GDMTH",AND(ENTRADA!E4&lt;&gt;"Baja california",OR(ENTRADA!E9="DIST",ENTRADA!E9="DIT"))),3,IF(AND(ENTRADA!E4="Baja California",OR(ENTRADA!E9="DIST",ENTRADA!E9="DIT")),4,0))))</f>
        <v>0</v>
      </c>
      <c r="B1" s="36"/>
      <c r="C1" s="36"/>
      <c r="D1" s="36"/>
      <c r="E1" s="36"/>
      <c r="F1" s="36"/>
      <c r="G1" s="36"/>
      <c r="H1" s="36"/>
      <c r="I1" s="36"/>
      <c r="J1" s="37"/>
      <c r="K1" s="37"/>
      <c r="L1" s="37"/>
    </row>
    <row r="2" spans="1:14" ht="15" customHeight="1" x14ac:dyDescent="0.25">
      <c r="A2" s="38">
        <f ca="1">CÁLCULOS!C87+23</f>
        <v>23</v>
      </c>
      <c r="B2" s="36"/>
      <c r="C2" s="36"/>
      <c r="D2" s="36"/>
      <c r="E2" s="36"/>
      <c r="F2" s="36"/>
      <c r="G2" s="36"/>
      <c r="H2" s="36"/>
      <c r="I2" s="39"/>
      <c r="J2" s="40"/>
      <c r="K2" s="41"/>
      <c r="L2" s="41"/>
      <c r="M2" s="11"/>
      <c r="N2" s="11"/>
    </row>
    <row r="3" spans="1:14" ht="15" customHeight="1" x14ac:dyDescent="0.25">
      <c r="A3" s="35"/>
      <c r="B3" s="36"/>
      <c r="C3" s="36"/>
      <c r="D3" s="36"/>
      <c r="E3" s="36"/>
      <c r="F3" s="36"/>
      <c r="G3" s="36"/>
      <c r="H3" s="36"/>
      <c r="I3" s="39"/>
      <c r="J3" s="40"/>
      <c r="K3" s="42"/>
      <c r="L3" s="42"/>
      <c r="M3" s="43"/>
      <c r="N3" s="43"/>
    </row>
    <row r="4" spans="1:14" ht="15" customHeight="1" x14ac:dyDescent="0.25">
      <c r="A4" s="35"/>
      <c r="B4" s="35"/>
      <c r="C4" s="35"/>
      <c r="D4" s="35"/>
      <c r="E4" s="35"/>
      <c r="F4" s="35"/>
      <c r="G4" s="35"/>
      <c r="H4" s="35"/>
      <c r="I4" s="39"/>
      <c r="J4" s="40"/>
      <c r="K4" s="42"/>
      <c r="L4" s="42"/>
      <c r="M4" s="43"/>
      <c r="N4" s="43"/>
    </row>
    <row r="5" spans="1:14" ht="15" customHeight="1" x14ac:dyDescent="0.25">
      <c r="A5" s="35"/>
      <c r="B5" s="35"/>
      <c r="C5" s="35"/>
      <c r="D5" s="35"/>
      <c r="E5" s="35"/>
      <c r="F5" s="35"/>
      <c r="G5" s="35"/>
      <c r="H5" s="35"/>
      <c r="I5" s="39"/>
      <c r="J5" s="40"/>
      <c r="K5" s="42"/>
      <c r="L5" s="42"/>
      <c r="M5" s="43"/>
      <c r="N5" s="43"/>
    </row>
    <row r="6" spans="1:14" ht="15" customHeight="1" x14ac:dyDescent="0.25">
      <c r="A6" s="35"/>
      <c r="B6" s="35"/>
      <c r="C6" s="35"/>
      <c r="D6" s="35"/>
      <c r="E6" s="35"/>
      <c r="F6" s="35"/>
      <c r="G6" s="35"/>
      <c r="H6" s="35"/>
      <c r="I6" s="39"/>
      <c r="J6" s="40"/>
      <c r="K6" s="42"/>
      <c r="L6" s="42"/>
      <c r="M6" s="43"/>
      <c r="N6" s="43"/>
    </row>
    <row r="7" spans="1:14" ht="15" customHeight="1" x14ac:dyDescent="0.25">
      <c r="A7" s="35"/>
      <c r="B7" s="36"/>
      <c r="C7" s="36"/>
      <c r="D7" s="36"/>
      <c r="E7" s="36"/>
      <c r="F7" s="36"/>
      <c r="G7" s="36"/>
      <c r="H7" s="36"/>
      <c r="I7" s="39"/>
      <c r="J7" s="40"/>
      <c r="K7" s="42"/>
      <c r="L7" s="42"/>
      <c r="M7" s="43"/>
      <c r="N7" s="43"/>
    </row>
    <row r="8" spans="1:14" ht="15" customHeight="1" x14ac:dyDescent="0.25">
      <c r="A8" s="48"/>
      <c r="B8" s="2"/>
      <c r="I8" s="44"/>
      <c r="J8" s="44"/>
      <c r="K8" s="43"/>
      <c r="L8" s="43"/>
      <c r="M8" s="43"/>
      <c r="N8" s="43"/>
    </row>
    <row r="9" spans="1:14" ht="15" customHeight="1" x14ac:dyDescent="0.25">
      <c r="A9" s="3"/>
      <c r="B9" s="10" t="str">
        <f>"La tarifa que CFE aplica en '"&amp;ENTRADA!E2&amp;"' tiene los siguientes componentes de cobro:"</f>
        <v>La tarifa que CFE aplica en '' tiene los siguientes componentes de cobro:</v>
      </c>
      <c r="I9" s="8"/>
      <c r="J9" s="44"/>
      <c r="K9" s="43"/>
      <c r="L9" s="43"/>
      <c r="M9" s="43"/>
      <c r="N9" s="43"/>
    </row>
    <row r="10" spans="1:14" ht="15" customHeight="1" x14ac:dyDescent="0.25">
      <c r="A10" s="13"/>
      <c r="B10" s="2"/>
      <c r="I10" s="44"/>
      <c r="J10" s="44"/>
      <c r="K10" s="13"/>
      <c r="L10" s="130"/>
      <c r="M10" s="130"/>
      <c r="N10" s="130"/>
    </row>
    <row r="11" spans="1:14" ht="15" customHeight="1" x14ac:dyDescent="0.25">
      <c r="A11" s="3"/>
      <c r="B11" s="49" t="s">
        <v>24</v>
      </c>
      <c r="C11" s="50"/>
      <c r="D11" s="50" t="s">
        <v>25</v>
      </c>
      <c r="E11" s="50" t="s">
        <v>123</v>
      </c>
      <c r="F11" s="50"/>
      <c r="G11" s="50"/>
      <c r="H11" s="51"/>
      <c r="I11" s="44"/>
      <c r="J11" s="44"/>
      <c r="K11" s="45"/>
      <c r="L11" s="130"/>
      <c r="M11" s="130"/>
      <c r="N11" s="13"/>
    </row>
    <row r="12" spans="1:14" ht="15" customHeight="1" x14ac:dyDescent="0.25">
      <c r="A12" s="13"/>
      <c r="B12" s="52" t="s">
        <v>26</v>
      </c>
      <c r="C12" s="53"/>
      <c r="D12" s="53" t="s">
        <v>27</v>
      </c>
      <c r="E12" s="53" t="str">
        <f>IF(A1=4,"Horarios: Base, Intermedia, Punta, Semipunta",IF(A1=3,"Horarios: Base, Intermedia, Punta",""))</f>
        <v/>
      </c>
      <c r="F12" s="53"/>
      <c r="G12" s="53"/>
      <c r="H12" s="54"/>
      <c r="I12" s="44"/>
      <c r="J12" s="44"/>
      <c r="K12" s="45"/>
      <c r="L12" s="130"/>
      <c r="M12" s="130"/>
      <c r="N12" s="13"/>
    </row>
    <row r="13" spans="1:14" ht="15" customHeight="1" x14ac:dyDescent="0.25">
      <c r="A13" s="13"/>
      <c r="B13" s="48" t="str">
        <f>IF(A1=1,"","3. Costo por demanda")</f>
        <v>3. Costo por demanda</v>
      </c>
      <c r="C13" s="48"/>
      <c r="D13" s="48" t="str">
        <f>IF(A1=1,"","$/kW")</f>
        <v>$/kW</v>
      </c>
      <c r="E13" s="48"/>
      <c r="F13" s="48"/>
      <c r="G13" s="48"/>
      <c r="H13" s="48"/>
      <c r="K13" s="45"/>
      <c r="L13" s="130"/>
      <c r="M13" s="130"/>
      <c r="N13" s="13"/>
    </row>
    <row r="14" spans="1:14" ht="15" customHeight="1" x14ac:dyDescent="0.25">
      <c r="A14" s="13"/>
      <c r="B14" s="2"/>
      <c r="K14" s="45"/>
      <c r="L14" s="130"/>
      <c r="M14" s="130"/>
      <c r="N14" s="13"/>
    </row>
    <row r="15" spans="1:14" ht="15" customHeight="1" x14ac:dyDescent="0.25">
      <c r="A15" s="13"/>
      <c r="B15" s="2"/>
      <c r="K15" s="13"/>
      <c r="L15" s="130"/>
      <c r="M15" s="130"/>
      <c r="N15" s="13"/>
    </row>
    <row r="16" spans="1:14" ht="15" customHeight="1" x14ac:dyDescent="0.25">
      <c r="A16" s="13"/>
      <c r="B16" s="2"/>
      <c r="K16" s="13"/>
      <c r="L16" s="13"/>
      <c r="M16" s="13"/>
      <c r="N16" s="13"/>
    </row>
    <row r="17" spans="1:14" ht="15" customHeight="1" x14ac:dyDescent="0.25">
      <c r="A17" s="13"/>
      <c r="B17" s="2"/>
      <c r="K17" s="13"/>
      <c r="L17" s="13"/>
      <c r="M17" s="13"/>
      <c r="N17" s="13"/>
    </row>
    <row r="18" spans="1:14" ht="15" customHeight="1" x14ac:dyDescent="0.25">
      <c r="A18" s="13"/>
      <c r="B18" s="2"/>
      <c r="K18" s="13"/>
      <c r="L18" s="13"/>
      <c r="M18" s="13"/>
      <c r="N18" s="13"/>
    </row>
    <row r="19" spans="1:14" ht="15" customHeight="1" x14ac:dyDescent="0.25">
      <c r="A19" s="13"/>
      <c r="B19" s="2"/>
      <c r="K19" s="13"/>
      <c r="L19" s="13"/>
      <c r="M19" s="13"/>
      <c r="N19" s="13"/>
    </row>
    <row r="20" spans="1:14" ht="15" customHeight="1" x14ac:dyDescent="0.25">
      <c r="A20" s="13"/>
      <c r="B20" s="10" t="s">
        <v>10</v>
      </c>
      <c r="K20" s="13"/>
      <c r="L20" s="13"/>
      <c r="M20" s="13"/>
      <c r="N20" s="13"/>
    </row>
    <row r="22" spans="1:14" ht="15" customHeight="1" x14ac:dyDescent="0.25">
      <c r="B22" s="8" t="s">
        <v>124</v>
      </c>
    </row>
    <row r="23" spans="1:14" ht="15" customHeight="1" x14ac:dyDescent="0.25">
      <c r="B23" s="8" t="s">
        <v>125</v>
      </c>
    </row>
    <row r="24" spans="1:14" ht="15" customHeight="1" x14ac:dyDescent="0.25">
      <c r="B24" s="8" t="s">
        <v>126</v>
      </c>
    </row>
    <row r="26" spans="1:14" ht="15" customHeight="1" x14ac:dyDescent="0.25">
      <c r="B26" s="8" t="s">
        <v>127</v>
      </c>
    </row>
    <row r="27" spans="1:14" ht="15" customHeight="1" x14ac:dyDescent="0.25">
      <c r="B27" s="8" t="s">
        <v>128</v>
      </c>
    </row>
    <row r="28" spans="1:14" ht="15" customHeight="1" x14ac:dyDescent="0.25">
      <c r="B28" s="8" t="s">
        <v>122</v>
      </c>
    </row>
    <row r="29" spans="1:14" ht="15" customHeight="1" x14ac:dyDescent="0.25">
      <c r="B29" s="8" t="s">
        <v>122</v>
      </c>
    </row>
    <row r="30" spans="1:14" ht="15" customHeight="1" x14ac:dyDescent="0.25">
      <c r="B30" s="8" t="s">
        <v>122</v>
      </c>
    </row>
  </sheetData>
  <sheetProtection algorithmName="SHA-512" hashValue="wAcKtGlh1SSxHsrcFHNn9yIvGAH8EjaUd5VmPjUEEHYg0RmHJn+rdiYNOymi5U36/8IpqlylhyQXMHMEQaOVPg==" saltValue="434K74XkBTvdUvx8ADq8jQ==" spinCount="100000" sheet="1" objects="1" scenarios="1" selectLockedCells="1" selectUnlockedCells="1"/>
  <mergeCells count="6">
    <mergeCell ref="L15:M15"/>
    <mergeCell ref="L10:N10"/>
    <mergeCell ref="L11:M11"/>
    <mergeCell ref="L12:M12"/>
    <mergeCell ref="L13:M13"/>
    <mergeCell ref="L14:M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91" r:id="rId3" name="CommandButton1">
          <controlPr defaultSize="0" autoLine="0" r:id="rId4">
            <anchor moveWithCells="1">
              <from>
                <xdr:col>9</xdr:col>
                <xdr:colOff>161925</xdr:colOff>
                <xdr:row>7</xdr:row>
                <xdr:rowOff>142875</xdr:rowOff>
              </from>
              <to>
                <xdr:col>11</xdr:col>
                <xdr:colOff>333375</xdr:colOff>
                <xdr:row>9</xdr:row>
                <xdr:rowOff>85725</xdr:rowOff>
              </to>
            </anchor>
          </controlPr>
        </control>
      </mc:Choice>
      <mc:Fallback>
        <control shapeId="309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ENTRADA</vt:lpstr>
      <vt:lpstr>CÁLCULOS</vt:lpstr>
      <vt:lpstr>SALIDA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Abisay Meléndez González</dc:creator>
  <cp:lastModifiedBy>Abisay Meléndez González</cp:lastModifiedBy>
  <dcterms:created xsi:type="dcterms:W3CDTF">2020-04-27T15:56:49Z</dcterms:created>
  <dcterms:modified xsi:type="dcterms:W3CDTF">2020-05-04T17:37:07Z</dcterms:modified>
</cp:coreProperties>
</file>